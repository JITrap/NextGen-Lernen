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kblatt" sheetId="1" state="visible" r:id="rId3"/>
    <sheet name="Annahmen" sheetId="2" state="visible" r:id="rId4"/>
    <sheet name="Investition" sheetId="3" state="visible" r:id="rId5"/>
    <sheet name="Mitglieder" sheetId="4" state="visible" r:id="rId6"/>
    <sheet name="Umsatz" sheetId="5" state="visible" r:id="rId7"/>
    <sheet name="Kosten" sheetId="6" state="visible" r:id="rId8"/>
    <sheet name="Finanzierung" sheetId="7" state="visible" r:id="rId9"/>
    <sheet name="Liquiditaet" sheetId="8" state="visible" r:id="rId10"/>
    <sheet name="GuV" sheetId="9" state="visible" r:id="rId11"/>
    <sheet name="Kennzahlen" sheetId="10" state="visible" r:id="rId12"/>
    <sheet name="Szenarien" sheetId="11" state="visible" r:id="rId13"/>
  </sheets>
  <definedNames>
    <definedName function="false" hidden="false" name="AfA_Ausbau" vbProcedure="false">Annahmen!$C$92</definedName>
    <definedName function="false" hidden="false" name="AfA_Geraete" vbProcedure="false">Annahmen!$C$91</definedName>
    <definedName function="false" hidden="false" name="AfA_Sonst" vbProcedure="false">Annahmen!$C$93</definedName>
    <definedName function="false" hidden="false" name="AG_Anteil" vbProcedure="false">Annahmen!$C$57</definedName>
    <definedName function="false" hidden="false" name="Anteil_Basic" vbProcedure="false">Annahmen!$C$22</definedName>
    <definedName function="false" hidden="false" name="Anteil_Premium" vbProcedure="false">Annahmen!$C$24</definedName>
    <definedName function="false" hidden="false" name="Anteil_Student" vbProcedure="false">Annahmen!$C$26</definedName>
    <definedName function="false" hidden="false" name="ARPU_brutto" vbProcedure="false">Annahmen!$C$32</definedName>
    <definedName function="false" hidden="false" name="Aufnahme" vbProcedure="false">Annahmen!$C$28</definedName>
    <definedName function="false" hidden="false" name="Aufnahme_Anteil" vbProcedure="false">Annahmen!$C$29</definedName>
    <definedName function="false" hidden="false" name="Aufwand_Gruendung" vbProcedure="false">Investition!$D$38</definedName>
    <definedName function="false" hidden="false" name="Beitrag_Basic" vbProcedure="false">Annahmen!$C$21</definedName>
    <definedName function="false" hidden="false" name="Beitrag_Erhoehung" vbProcedure="false">Annahmen!$C$30</definedName>
    <definedName function="false" hidden="false" name="Beitrag_Faktor" vbProcedure="false">Annahmen!$C$55</definedName>
    <definedName function="false" hidden="false" name="Beitrag_Premium" vbProcedure="false">Annahmen!$C$23</definedName>
    <definedName function="false" hidden="false" name="Beitrag_Student" vbProcedure="false">Annahmen!$C$25</definedName>
    <definedName function="false" hidden="false" name="Beratung" vbProcedure="false">Annahmen!$C$88</definedName>
    <definedName function="false" hidden="false" name="BK" vbProcedure="false">Annahmen!$C$14</definedName>
    <definedName function="false" hidden="false" name="Churn" vbProcedure="false">Annahmen!$C$54</definedName>
    <definedName function="false" hidden="false" name="Darl1_Auszahlung" vbProcedure="false">Annahmen!$C$102</definedName>
    <definedName function="false" hidden="false" name="Darl1_Betrag" vbProcedure="false">Annahmen!$C$97</definedName>
    <definedName function="false" hidden="false" name="Darl1_EK" vbProcedure="false">Annahmen!$C$98</definedName>
    <definedName function="false" hidden="false" name="Darl1_Frei" vbProcedure="false">Annahmen!$C$101</definedName>
    <definedName function="false" hidden="false" name="Darl1_Haftung" vbProcedure="false">Annahmen!$C$103</definedName>
    <definedName function="false" hidden="false" name="Darl1_Laufzeit" vbProcedure="false">Annahmen!$C$100</definedName>
    <definedName function="false" hidden="false" name="Darl1_Name" vbProcedure="false">Annahmen!$C$96</definedName>
    <definedName function="false" hidden="false" name="Darl1_Zins" vbProcedure="false">Annahmen!$C$99</definedName>
    <definedName function="false" hidden="false" name="Darl2_Auszahlung" vbProcedure="false">Annahmen!$C$110</definedName>
    <definedName function="false" hidden="false" name="Darl2_Betrag" vbProcedure="false">Annahmen!$C$105</definedName>
    <definedName function="false" hidden="false" name="Darl2_EK" vbProcedure="false">Annahmen!$C$106</definedName>
    <definedName function="false" hidden="false" name="Darl2_Frei" vbProcedure="false">Annahmen!$C$109</definedName>
    <definedName function="false" hidden="false" name="Darl2_Haftung" vbProcedure="false">Annahmen!$C$111</definedName>
    <definedName function="false" hidden="false" name="Darl2_Laufzeit" vbProcedure="false">Annahmen!$C$108</definedName>
    <definedName function="false" hidden="false" name="Darl2_Name" vbProcedure="false">Annahmen!$C$104</definedName>
    <definedName function="false" hidden="false" name="Darl2_Zins" vbProcedure="false">Annahmen!$C$107</definedName>
    <definedName function="false" hidden="false" name="Darl3_Auszahlung" vbProcedure="false">Annahmen!$C$118</definedName>
    <definedName function="false" hidden="false" name="Darl3_Betrag" vbProcedure="false">Annahmen!$C$113</definedName>
    <definedName function="false" hidden="false" name="Darl3_EK" vbProcedure="false">Annahmen!$C$114</definedName>
    <definedName function="false" hidden="false" name="Darl3_Frei" vbProcedure="false">Annahmen!$C$117</definedName>
    <definedName function="false" hidden="false" name="Darl3_Haftung" vbProcedure="false">Annahmen!$C$119</definedName>
    <definedName function="false" hidden="false" name="Darl3_Laufzeit" vbProcedure="false">Annahmen!$C$116</definedName>
    <definedName function="false" hidden="false" name="Darl3_Name" vbProcedure="false">Annahmen!$C$112</definedName>
    <definedName function="false" hidden="false" name="Darl3_Zins" vbProcedure="false">Annahmen!$C$115</definedName>
    <definedName function="false" hidden="false" name="Darl4_Auszahlung" vbProcedure="false">Annahmen!$C$126</definedName>
    <definedName function="false" hidden="false" name="Darl4_Betrag" vbProcedure="false">Annahmen!$C$121</definedName>
    <definedName function="false" hidden="false" name="Darl4_EK" vbProcedure="false">Annahmen!$C$122</definedName>
    <definedName function="false" hidden="false" name="Darl4_Frei" vbProcedure="false">Annahmen!$C$125</definedName>
    <definedName function="false" hidden="false" name="Darl4_Haftung" vbProcedure="false">Annahmen!$C$127</definedName>
    <definedName function="false" hidden="false" name="Darl4_Laufzeit" vbProcedure="false">Annahmen!$C$124</definedName>
    <definedName function="false" hidden="false" name="Darl4_Name" vbProcedure="false">Annahmen!$C$120</definedName>
    <definedName function="false" hidden="false" name="Darl4_Zins" vbProcedure="false">Annahmen!$C$123</definedName>
    <definedName function="false" hidden="false" name="Deckung" vbProcedure="false">Finanzierung!$C$23</definedName>
    <definedName function="false" hidden="false" name="EK" vbProcedure="false">Annahmen!$C$95</definedName>
    <definedName function="false" hidden="false" name="EK_Quote" vbProcedure="false">Finanzierung!$C$24</definedName>
    <definedName function="false" hidden="false" name="Energie" vbProcedure="false">Annahmen!$C$15</definedName>
    <definedName function="false" hidden="false" name="Eroeffnung" vbProcedure="false">Annahmen!$C$10</definedName>
    <definedName function="false" hidden="false" name="FK_Summe" vbProcedure="false">Finanzierung!$C$25</definedName>
    <definedName function="false" hidden="false" name="Flaeche" vbProcedure="false">Annahmen!$C$5</definedName>
    <definedName function="false" hidden="false" name="Flaeche_Netto" vbProcedure="false">Annahmen!$C$6</definedName>
    <definedName function="false" hidden="false" name="Fz_Ausz" vbProcedure="false">Finanzierung!$C$60:$BO$60</definedName>
    <definedName function="false" hidden="false" name="Fz_Jahr" vbProcedure="false">Finanzierung!$C$29:$BO$29</definedName>
    <definedName function="false" hidden="false" name="Fz_Monat" vbProcedure="false">Finanzierung!$C$28:$BO$28</definedName>
    <definedName function="false" hidden="false" name="Fz_Periode" vbProcedure="false">Finanzierung!$C$30:$BO$30</definedName>
    <definedName function="false" hidden="false" name="Fz_Rest" vbProcedure="false">Finanzierung!$C$64:$BO$64</definedName>
    <definedName function="false" hidden="false" name="Fz_Tilg" vbProcedure="false">Finanzierung!$C$62:$BO$62</definedName>
    <definedName function="false" hidden="false" name="Fz_Zins" vbProcedure="false">Finanzierung!$C$61:$BO$61</definedName>
    <definedName function="false" hidden="false" name="GEMA" vbProcedure="false">Annahmen!$C$78</definedName>
    <definedName function="false" hidden="false" name="Geraetewert" vbProcedure="false">Investition!$D$37</definedName>
    <definedName function="false" hidden="false" name="Gruendung" vbProcedure="false">Annahmen!$C$87</definedName>
    <definedName function="false" hidden="false" name="GuV_DSCR" vbProcedure="false">GuV!$C$24:$G$24</definedName>
    <definedName function="false" hidden="false" name="GuV_EBITDA" vbProcedure="false">GuV!$C$13:$G$13</definedName>
    <definedName function="false" hidden="false" name="GuV_Ergebnis" vbProcedure="false">GuV!$C$21:$G$21</definedName>
    <definedName function="false" hidden="false" name="GuV_Steuern" vbProcedure="false">GuV!$C$20:$G$20</definedName>
    <definedName function="false" hidden="false" name="Hebesatz" vbProcedure="false">Annahmen!$C$132</definedName>
    <definedName function="false" hidden="false" name="Hilf_CF" vbProcedure="false">Umsatz!$C$32:$BJ$32</definedName>
    <definedName function="false" hidden="false" name="Hilf_EBITDA" vbProcedure="false">Umsatz!$C$31:$BJ$31</definedName>
    <definedName function="false" hidden="false" name="Index_pa" vbProcedure="false">Annahmen!$C$18</definedName>
    <definedName function="false" hidden="false" name="Instand_m2" vbProcedure="false">Annahmen!$C$85</definedName>
    <definedName function="false" hidden="false" name="Inv_AfaJahre" vbProcedure="false">Investition!$E$5:$E$32</definedName>
    <definedName function="false" hidden="false" name="Inv_AfaJeJahr" vbProcedure="false">Investition!$F$5:$F$32</definedName>
    <definedName function="false" hidden="false" name="Inv_Betrag" vbProcedure="false">Investition!$D$5:$D$32</definedName>
    <definedName function="false" hidden="false" name="Inv_Gruppe" vbProcedure="false">Investition!$B$5:$B$32</definedName>
    <definedName function="false" hidden="false" name="Inv_Monate" vbProcedure="false">Investition!$I$5:$I$32</definedName>
    <definedName function="false" hidden="false" name="Inv_Start" vbProcedure="false">Investition!$H$5:$H$32</definedName>
    <definedName function="false" hidden="false" name="Inv_Summe" vbProcedure="false">Investition!$D$33</definedName>
    <definedName function="false" hidden="false" name="Inv_Vorsteuer_Gesamt" vbProcedure="false">Investition!$D$39</definedName>
    <definedName function="false" hidden="false" name="Inv_Vst" vbProcedure="false">Investition!$G$5:$G$32</definedName>
    <definedName function="false" hidden="false" name="Kapazitaet_Max" vbProcedure="false">Annahmen!$C$46</definedName>
    <definedName function="false" hidden="false" name="Kapitalbedarf" vbProcedure="false">Investition!$D$35</definedName>
    <definedName function="false" hidden="false" name="Kaution_Monate" vbProcedure="false">Annahmen!$C$16</definedName>
    <definedName function="false" hidden="false" name="KK_Rahmen" vbProcedure="false">Annahmen!$C$130</definedName>
    <definedName function="false" hidden="false" name="Ko_BK" vbProcedure="false">Kosten!$C$9:$BO$9</definedName>
    <definedName function="false" hidden="false" name="Ko_Energie" vbProcedure="false">Kosten!$C$10:$BO$10</definedName>
    <definedName function="false" hidden="false" name="Ko_Gesamt" vbProcedure="false">Kosten!$C$23:$BO$23</definedName>
    <definedName function="false" hidden="false" name="Ko_Instand" vbProcedure="false">Kosten!$C$20:$BO$20</definedName>
    <definedName function="false" hidden="false" name="Ko_Jahr" vbProcedure="false">Kosten!$C$5:$BO$5</definedName>
    <definedName function="false" hidden="false" name="Ko_Marketing" vbProcedure="false">Kosten!$C$11:$BO$11</definedName>
    <definedName function="false" hidden="false" name="Ko_Miete" vbProcedure="false">Kosten!$C$8:$BO$8</definedName>
    <definedName function="false" hidden="false" name="Ko_Monat" vbProcedure="false">Kosten!$C$4:$BO$4</definedName>
    <definedName function="false" hidden="false" name="Ko_Periode" vbProcedure="false">Kosten!$C$6:$BO$6</definedName>
    <definedName function="false" hidden="false" name="Ko_Personal" vbProcedure="false">Kosten!$C$7:$BO$7</definedName>
    <definedName function="false" hidden="false" name="Ko_Vorsteuer" vbProcedure="false">Kosten!$C$25:$BO$25</definedName>
    <definedName function="false" hidden="false" name="Ko_WE" vbProcedure="false">Kosten!$C$22:$BO$22</definedName>
    <definedName function="false" hidden="false" name="KSt" vbProcedure="false">Annahmen!$C$134</definedName>
    <definedName function="false" hidden="false" name="Lq_BetriebKum" vbProcedure="false">Liquiditaet!$C$26:$BO$26</definedName>
    <definedName function="false" hidden="false" name="Lq_Ende" vbProcedure="false">Liquiditaet!$C$22:$BO$22</definedName>
    <definedName function="false" hidden="false" name="Lq_Monat" vbProcedure="false">Liquiditaet!$C$4:$BO$4</definedName>
    <definedName function="false" hidden="false" name="Lq_Steuer" vbProcedure="false">Liquiditaet!$C$20:$BO$20</definedName>
    <definedName function="false" hidden="false" name="Marketing_Eroeff" vbProcedure="false">Annahmen!$C$74</definedName>
    <definedName function="false" hidden="false" name="Marketing_laufend" vbProcedure="false">Annahmen!$C$72</definedName>
    <definedName function="false" hidden="false" name="Marketing_Pct" vbProcedure="false">Annahmen!$C$73</definedName>
    <definedName function="false" hidden="false" name="Marketing_Vorverkauf" vbProcedure="false">Annahmen!$C$75</definedName>
    <definedName function="false" hidden="false" name="Marketing_Vorverkauf_Monate" vbProcedure="false">Annahmen!$C$76</definedName>
    <definedName function="false" hidden="false" name="Messzahl" vbProcedure="false">Annahmen!$C$133</definedName>
    <definedName function="false" hidden="false" name="Mg_Avg" vbProcedure="false">Mitglieder!$C$11:$BJ$11</definedName>
    <definedName function="false" hidden="false" name="Mg_Ende" vbProcedure="false">Mitglieder!$C$10:$BJ$10</definedName>
    <definedName function="false" hidden="false" name="Mg_Jahr" vbProcedure="false">Mitglieder!$C$5:$BJ$5</definedName>
    <definedName function="false" hidden="false" name="Mg_Monat" vbProcedure="false">Mitglieder!$C$4:$BJ$4</definedName>
    <definedName function="false" hidden="false" name="Mg_Neu" vbProcedure="false">Mitglieder!$C$8:$BJ$8</definedName>
    <definedName function="false" hidden="false" name="Miete_kalt" vbProcedure="false">Annahmen!$C$13</definedName>
    <definedName function="false" hidden="false" name="Mietfrei" vbProcedure="false">Annahmen!$C$17</definedName>
    <definedName function="false" hidden="false" name="Mini_Abg" vbProcedure="false">Annahmen!$C$58</definedName>
    <definedName function="false" hidden="false" name="Neben_Getraenke" vbProcedure="false">Annahmen!$C$34</definedName>
    <definedName function="false" hidden="false" name="Neben_Merch" vbProcedure="false">Annahmen!$C$38</definedName>
    <definedName function="false" hidden="false" name="Neben_PT" vbProcedure="false">Annahmen!$C$37</definedName>
    <definedName function="false" hidden="false" name="Neben_WE" vbProcedure="false">Annahmen!$C$35</definedName>
    <definedName function="false" hidden="false" name="Neben_Wellness" vbProcedure="false">Annahmen!$C$36</definedName>
    <definedName function="false" hidden="false" name="Neu_1" vbProcedure="false">Annahmen!$C$41</definedName>
    <definedName function="false" hidden="false" name="Neu_2" vbProcedure="false">Annahmen!$C$42</definedName>
    <definedName function="false" hidden="false" name="Neu_3" vbProcedure="false">Annahmen!$C$43</definedName>
    <definedName function="false" hidden="false" name="Neu_4" vbProcedure="false">Annahmen!$C$44</definedName>
    <definedName function="false" hidden="false" name="Neu_5" vbProcedure="false">Annahmen!$C$45</definedName>
    <definedName function="false" hidden="false" name="Neu_Faktor" vbProcedure="false">Annahmen!$C$53</definedName>
    <definedName function="false" hidden="false" name="Payment_Pct" vbProcedure="false">Annahmen!$C$80</definedName>
    <definedName function="false" hidden="false" name="Personal_Voll" vbProcedure="false">Annahmen!$C$69</definedName>
    <definedName function="false" hidden="false" name="Personen" vbProcedure="false">Annahmen!$C$8</definedName>
    <definedName function="false" hidden="false" name="Pers_Ab" vbProcedure="false">Annahmen!$G$61:$G$68</definedName>
    <definedName function="false" hidden="false" name="Pers_Anzahl" vbProcedure="false">Annahmen!$C$61:$C$68</definedName>
    <definedName function="false" hidden="false" name="Pers_Brutto" vbProcedure="false">Annahmen!$D$61:$D$68</definedName>
    <definedName function="false" hidden="false" name="Pers_Mini" vbProcedure="false">Annahmen!$F$61:$F$68</definedName>
    <definedName function="false" hidden="false" name="Puffer_Pct" vbProcedure="false">Annahmen!$C$129</definedName>
    <definedName function="false" hidden="false" name="Rate_M25" vbProcedure="false">Finanzierung!$C$73</definedName>
    <definedName function="false" hidden="false" name="Reinigung" vbProcedure="false">Annahmen!$C$82</definedName>
    <definedName function="false" hidden="false" name="Reserve" vbProcedure="false">Annahmen!$C$128</definedName>
    <definedName function="false" hidden="false" name="Service_Halbjahr" vbProcedure="false">Annahmen!$C$27</definedName>
    <definedName function="false" hidden="false" name="Software" vbProcedure="false">Annahmen!$C$79</definedName>
    <definedName function="false" hidden="false" name="Soli" vbProcedure="false">Annahmen!$C$135</definedName>
    <definedName function="false" hidden="false" name="Sonstiges" vbProcedure="false">Annahmen!$C$86</definedName>
    <definedName function="false" hidden="false" name="Spitzenlast" vbProcedure="false">Annahmen!$C$47</definedName>
    <definedName function="false" hidden="false" name="StB" vbProcedure="false">Annahmen!$C$81</definedName>
    <definedName function="false" hidden="false" name="Steig" vbProcedure="false">Annahmen!$C$59</definedName>
    <definedName function="false" hidden="false" name="Steuersatz" vbProcedure="false">Annahmen!$C$136</definedName>
    <definedName function="false" hidden="false" name="Szenario" vbProcedure="false">Annahmen!$C$11</definedName>
    <definedName function="false" hidden="false" name="Sz_Beitrag" vbProcedure="false">Annahmen!$E$50:$E$52</definedName>
    <definedName function="false" hidden="false" name="Sz_Churn" vbProcedure="false">Annahmen!$D$50:$D$52</definedName>
    <definedName function="false" hidden="false" name="Sz_Neu" vbProcedure="false">Annahmen!$C$50:$C$52</definedName>
    <definedName function="false" hidden="false" name="Telko" vbProcedure="false">Annahmen!$C$83</definedName>
    <definedName function="false" hidden="false" name="Trainingsflaeche" vbProcedure="false">Annahmen!$C$7</definedName>
    <definedName function="false" hidden="false" name="Um_Aufnahme" vbProcedure="false">Umsatz!$C$11:$BJ$11</definedName>
    <definedName function="false" hidden="false" name="Um_Beitrag" vbProcedure="false">Umsatz!$C$9:$BJ$9</definedName>
    <definedName function="false" hidden="false" name="Um_Gesamt" vbProcedure="false">Umsatz!$C$16:$BJ$16</definedName>
    <definedName function="false" hidden="false" name="Um_Jahr" vbProcedure="false">Umsatz!$C$5:$BJ$5</definedName>
    <definedName function="false" hidden="false" name="Um_Monat" vbProcedure="false">Umsatz!$C$4:$BJ$4</definedName>
    <definedName function="false" hidden="false" name="Um_Service" vbProcedure="false">Umsatz!$C$10:$BJ$10</definedName>
    <definedName function="false" hidden="false" name="Um_USt" vbProcedure="false">Umsatz!$C$17:$BJ$17</definedName>
    <definedName function="false" hidden="false" name="Um_WE" vbProcedure="false">Umsatz!$C$18:$BJ$18</definedName>
    <definedName function="false" hidden="false" name="Unvorh_Pct" vbProcedure="false">Annahmen!$C$90</definedName>
    <definedName function="false" hidden="false" name="UST" vbProcedure="false">Annahmen!$C$31</definedName>
    <definedName function="false" hidden="false" name="UST_Miete" vbProcedure="false">Annahmen!$C$19</definedName>
    <definedName function="false" hidden="false" name="UST_Verz" vbProcedure="false">Annahmen!$C$137</definedName>
    <definedName function="false" hidden="false" name="Versicherung" vbProcedure="false">Annahmen!$C$77</definedName>
    <definedName function="false" hidden="false" name="Vorlauf" vbProcedure="false">Annahmen!$C$9</definedName>
    <definedName function="false" hidden="false" name="Vorverkauf" vbProcedure="false">Annahmen!$C$40</definedName>
    <definedName function="false" hidden="false" name="VZAE" vbProcedure="false">Annahmen!$C$70</definedName>
    <definedName function="false" hidden="false" name="Wartung_Pct" vbProcedure="false">Annahmen!$C$84</definedName>
    <definedName function="false" hidden="false" name="ZP_Monat" vbProcedure="false">Investition!$M$4:$T$4</definedName>
    <definedName function="false" hidden="false" name="ZP_Netto" vbProcedure="false">Investition!$M$33:$T$33</definedName>
    <definedName function="false" hidden="false" name="ZP_Vst" vbProcedure="false">Investition!$M$34:$T$34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<sst xmlns="http://schemas.openxmlformats.org/spreadsheetml/2006/main" count="744" uniqueCount="549">
  <si>
    <t xml:space="preserve">Finanzplanung No.1 Fitness &amp; HYROX Studio (Arbeitstitel)</t>
  </si>
  <si>
    <t xml:space="preserve">Businessplan-Anlage: Kapitalbedarf, Finanzierungsplan, Mitglieder-/Umsatz-/Kostenplanung, Liquiditätsplan, Rentabilitätsvorschau (5 Jahre)</t>
  </si>
  <si>
    <t xml:space="preserve">Stand: 27.09.2026 · Grundlage: Planung „No.1 (überarbeitet)“ aus GymPlanner (1975 m² Bruttofläche), Kaltmiete 8.50 €/m², Anlaufreserve für 24 Monate</t>
  </si>
  <si>
    <t xml:space="preserve">Legende</t>
  </si>
  <si>
    <t xml:space="preserve">Blaue Schrift</t>
  </si>
  <si>
    <t xml:space="preserve">Eingabewert / Annahme – darf geändert werden (Blatt „Annahmen“, „Investition“)</t>
  </si>
  <si>
    <t xml:space="preserve">Schwarze Schrift</t>
  </si>
  <si>
    <t xml:space="preserve">Formel – nicht überschreiben</t>
  </si>
  <si>
    <t xml:space="preserve">Grüne Schrift</t>
  </si>
  <si>
    <t xml:space="preserve">Verweis auf ein anderes Blatt</t>
  </si>
  <si>
    <t xml:space="preserve">Gelbe Füllung</t>
  </si>
  <si>
    <t xml:space="preserve">Vor dem Bankgespräch prüfen bzw. persönlich ausfüllen (Eigenkapital, Gründerdaten, Eröffnungstermin)</t>
  </si>
  <si>
    <t xml:space="preserve">Blätter</t>
  </si>
  <si>
    <t xml:space="preserve">Annahmen</t>
  </si>
  <si>
    <t xml:space="preserve">Alle Eingaben: Fläche, Miete, Tarife, Mitgliederentwicklung, Personal, Sachkosten, Finanzierung, Steuern, Szenario-Schalter</t>
  </si>
  <si>
    <t xml:space="preserve">Investition</t>
  </si>
  <si>
    <t xml:space="preserve">Kapitalbedarf: Geräte je Bereich (Stückliste GymPlanner), Ausbau, Sanitär, Planung, Unvorhergesehenes, Kaution, Gründung, Anlaufreserve; Zahlungsplan Vorlaufmonate</t>
  </si>
  <si>
    <t xml:space="preserve">Finanzierung</t>
  </si>
  <si>
    <t xml:space="preserve">Mittelherkunft (Eigenkapital, Darlehen), Tilgungspläne je Darlehen (monatlich), Kapitaldienst je Jahr</t>
  </si>
  <si>
    <t xml:space="preserve">Mitglieder</t>
  </si>
  <si>
    <t xml:space="preserve">Neuzugänge, Kündigungen, Bestand je Monat (60 Monate), Spitzenlast gegen Kapazität</t>
  </si>
  <si>
    <t xml:space="preserve">Umsatz</t>
  </si>
  <si>
    <t xml:space="preserve">Beiträge, Servicepauschale, Aufnahmegebühren, Nebenumsätze – netto je Monat, Umsatzsteuer</t>
  </si>
  <si>
    <t xml:space="preserve">Kosten</t>
  </si>
  <si>
    <t xml:space="preserve">Personal (Stellenplan), Raumkosten, Marketing, sonstige Sachkosten je Monat inkl. Vorlaufphase, Vorsteuer</t>
  </si>
  <si>
    <t xml:space="preserve">Liquiditaet</t>
  </si>
  <si>
    <t xml:space="preserve">Monatlicher Liquiditätsplan von der Ausbauphase bis Monat 60 inkl. Umsatzsteuer-Zahllast/-Erstattung, Kapitaldienst, Steuern</t>
  </si>
  <si>
    <t xml:space="preserve">GuV</t>
  </si>
  <si>
    <t xml:space="preserve">Rentabilitätsvorschau Jahr 1–5, Kapitaldienstfähigkeit (DSCR), Abschreibungen, Steuern mit Verlustvortrag</t>
  </si>
  <si>
    <t xml:space="preserve">Kennzahlen</t>
  </si>
  <si>
    <t xml:space="preserve">Break-even (Mitglieder/Monat), Mindestliquidität, Reservebedarf, Quoten</t>
  </si>
  <si>
    <t xml:space="preserve">Szenarien</t>
  </si>
  <si>
    <t xml:space="preserve">Vergleich pessimistisch / Basis / optimistisch (Werte, erzeugt durch Umschalten der Zelle „Szenario“)</t>
  </si>
  <si>
    <t xml:space="preserve">Hinweise</t>
  </si>
  <si>
    <t xml:space="preserve">1.</t>
  </si>
  <si>
    <t xml:space="preserve">Alle Beträge in Euro netto (ohne Umsatzsteuer), sofern nicht „brutto“ angegeben. Mitgliedsbeiträge sind Bruttopreise inkl. 19 % USt; die Planung rechnet sie auf netto um.</t>
  </si>
  <si>
    <t xml:space="preserve">2.</t>
  </si>
  <si>
    <t xml:space="preserve">Monatsraster: Monate −5 … −1 = Vorlauf (Ausbau, Vorverkauf), Monat 1 = Eröffnungsmonat, Jahr 1 = Vorlauf + Monate 1–12 (Rumpf-/erstes Geschäftsjahr).</t>
  </si>
  <si>
    <t xml:space="preserve">3.</t>
  </si>
  <si>
    <t xml:space="preserve">Investitionsbeträge stammen aus der Kostenkalkulation der Planungssoftware (Stückliste mit recherchierten Netto-Listenpreisen, Ausbau-Richtwerte je m²). Sie sind vor Vertragsabschluss durch Angebote zu ersetzen.</t>
  </si>
  <si>
    <t xml:space="preserve">4.</t>
  </si>
  <si>
    <t xml:space="preserve">Die Anlaufreserve (Betriebsmittel) deckt die kumulierten Anlaufverluste der ersten 24 Monate inkl. Sicherheitspuffer; Blatt „Kennzahlen“ zeigt den berechneten Bedarf gegenüber dem angesetzten Betrag.</t>
  </si>
  <si>
    <t xml:space="preserve">5.</t>
  </si>
  <si>
    <t xml:space="preserve">Darlehenskonditionen sind Planannahmen auf Basis der veröffentlichten Programmbedingungen (KfW/L-Bank/Bürgschaftsbank); die Hausbank legt die Preisklasse fest.</t>
  </si>
  <si>
    <t xml:space="preserve">Annahmen (Eingaben)</t>
  </si>
  <si>
    <t xml:space="preserve">Blau = Eingabe. Gelb = vor dem Bankgespräch ausfüllen/prüfen. Quellen und Herleitung siehe Businessplan Kapitel „Finanzplanung“ und Spalte E.</t>
  </si>
  <si>
    <t xml:space="preserve">Projekt</t>
  </si>
  <si>
    <t xml:space="preserve">Bruttofläche (Mietfläche)</t>
  </si>
  <si>
    <t xml:space="preserve">m²</t>
  </si>
  <si>
    <t xml:space="preserve">aus Planung No.1 (überarbeitet): Hallenaußenmaß</t>
  </si>
  <si>
    <t xml:space="preserve">Nettofläche</t>
  </si>
  <si>
    <t xml:space="preserve">Innenfläche ohne Wände</t>
  </si>
  <si>
    <t xml:space="preserve">Trainingsfläche (Zonen + Kursraum)</t>
  </si>
  <si>
    <t xml:space="preserve">Basis der Personenzahl (9 m² je Person)</t>
  </si>
  <si>
    <t xml:space="preserve">Gleichzeitige Nutzer (Kapazität)</t>
  </si>
  <si>
    <t xml:space="preserve">Pers.</t>
  </si>
  <si>
    <t xml:space="preserve">Trainingsfläche ÷ 9 m²</t>
  </si>
  <si>
    <t xml:space="preserve">Vorlaufmonate (Ausbau + Vorverkauf)</t>
  </si>
  <si>
    <t xml:space="preserve">Monate</t>
  </si>
  <si>
    <t xml:space="preserve">Monate −5 … −1 vor Eröffnung</t>
  </si>
  <si>
    <t xml:space="preserve">Eröffnungstermin (geplant)</t>
  </si>
  <si>
    <t xml:space="preserve">Monat 1 der Planung</t>
  </si>
  <si>
    <t xml:space="preserve">Szenario (1 = pessimistisch, 2 = Basis, 3 = optimistisch)</t>
  </si>
  <si>
    <t xml:space="preserve">schaltet Neuzugänge, Kündigungsquote und Beitragsniveau um (Tabelle unten)</t>
  </si>
  <si>
    <t xml:space="preserve">Miete und Nebenkosten</t>
  </si>
  <si>
    <t xml:space="preserve">Kaltmiete</t>
  </si>
  <si>
    <t xml:space="preserve">€/m²/Monat</t>
  </si>
  <si>
    <t xml:space="preserve">Vorgabe: 8,50 €/m² (Hallen-/Sonderfläche, Region Bodensee/Stuttgart)</t>
  </si>
  <si>
    <t xml:space="preserve">Betriebskosten (Grundsteuer, Versicherung, Müll, Hausmeister)</t>
  </si>
  <si>
    <t xml:space="preserve">Energie und Wasser (Strom, Wärme, Wasser/Abwasser)</t>
  </si>
  <si>
    <t xml:space="preserve">inkl. Sauna/Dampfbad und Lüftung; erst ab Eröffnung</t>
  </si>
  <si>
    <t xml:space="preserve">Kaution</t>
  </si>
  <si>
    <t xml:space="preserve">Monatsmieten</t>
  </si>
  <si>
    <t xml:space="preserve">inkl. Nebenkosten (Investition)</t>
  </si>
  <si>
    <t xml:space="preserve">Mietfreie Monate während des Ausbaus</t>
  </si>
  <si>
    <t xml:space="preserve">Verhandlungsziel Mietvertrag; danach Miete + Betriebskosten ab Übergabe</t>
  </si>
  <si>
    <t xml:space="preserve">Mietindexierung je Jahr</t>
  </si>
  <si>
    <t xml:space="preserve">% p. a.</t>
  </si>
  <si>
    <t xml:space="preserve">Indexmiete, ab Jahr 2</t>
  </si>
  <si>
    <t xml:space="preserve">Vermieter optiert zur Umsatzsteuer (1 = ja, 0 = nein)</t>
  </si>
  <si>
    <t xml:space="preserve">bei 1 ist die USt auf Miete/BK als Vorsteuer abziehbar</t>
  </si>
  <si>
    <t xml:space="preserve">Tarife (brutto inkl. USt) und Mitgliedermix</t>
  </si>
  <si>
    <t xml:space="preserve">Basic (Kraft, Cardio, Freihantel, Kurse)</t>
  </si>
  <si>
    <t xml:space="preserve">€/Monat</t>
  </si>
  <si>
    <t xml:space="preserve">Anteil Basic am Bestand</t>
  </si>
  <si>
    <t xml:space="preserve">Premium (zusätzlich Wellness/Sauna/Dampfbad, HYROX-Zone, Getränke-Flat)</t>
  </si>
  <si>
    <t xml:space="preserve">Anteil Premium am Bestand</t>
  </si>
  <si>
    <t xml:space="preserve">Student/Azubi/Senior (Basic-Leistungen)</t>
  </si>
  <si>
    <t xml:space="preserve">Anteil Student/Azubi/Senior</t>
  </si>
  <si>
    <t xml:space="preserve">Summe der Anteile = 100 %</t>
  </si>
  <si>
    <t xml:space="preserve">Servicepauschale je Halbjahr (brutto)</t>
  </si>
  <si>
    <t xml:space="preserve">€</t>
  </si>
  <si>
    <t xml:space="preserve">branchenüblich (Trainings-/Servicepauschale), 0 = keine</t>
  </si>
  <si>
    <t xml:space="preserve">Aufnahmegebühr (brutto)</t>
  </si>
  <si>
    <t xml:space="preserve">einmalig je Neuzugang</t>
  </si>
  <si>
    <t xml:space="preserve">Anteil Neuzugänge, die Aufnahmegebühr zahlen</t>
  </si>
  <si>
    <t xml:space="preserve">Rest über Aktionen erlassen</t>
  </si>
  <si>
    <t xml:space="preserve">Beitragsanpassung ab Jahr 3</t>
  </si>
  <si>
    <t xml:space="preserve">auf den Bestand (Indexklausel)</t>
  </si>
  <si>
    <t xml:space="preserve">Umsatzsteuersatz</t>
  </si>
  <si>
    <t xml:space="preserve">Fitnessleistungen 19 %</t>
  </si>
  <si>
    <t xml:space="preserve">Ø Beitrag je Mitglied und Monat (brutto, gewichteter Mix, Szenario)</t>
  </si>
  <si>
    <t xml:space="preserve">Formel</t>
  </si>
  <si>
    <t xml:space="preserve">Nebenumsätze je Mitglied und Monat (brutto)</t>
  </si>
  <si>
    <t xml:space="preserve">Getränke, Shakes, Riegel</t>
  </si>
  <si>
    <t xml:space="preserve">Wareneinsatz Getränke/Shakes</t>
  </si>
  <si>
    <t xml:space="preserve">% vom Netto</t>
  </si>
  <si>
    <t xml:space="preserve">Solarium, Wellness-Zusatz, Getränke-Flat-Upgrade</t>
  </si>
  <si>
    <t xml:space="preserve">Personal Training, Zusatzkurse, Ernährungsberatung (Provisionsanteil)</t>
  </si>
  <si>
    <t xml:space="preserve">Merchandise, Sonstiges</t>
  </si>
  <si>
    <t xml:space="preserve">Mitgliederentwicklung</t>
  </si>
  <si>
    <t xml:space="preserve">Mitglieder zur Eröffnung (Vorverkauf, 3 Monate)</t>
  </si>
  <si>
    <t xml:space="preserve">Mitgl.</t>
  </si>
  <si>
    <t xml:space="preserve">Basis-Szenario, wird mit Szenario-Faktor skaliert</t>
  </si>
  <si>
    <t xml:space="preserve">Neuzugänge je Monat, Monate 1–3</t>
  </si>
  <si>
    <t xml:space="preserve">Mitgl./Monat</t>
  </si>
  <si>
    <t xml:space="preserve">Eröffnungsphase</t>
  </si>
  <si>
    <t xml:space="preserve">Neuzugänge je Monat, Monate 4–12</t>
  </si>
  <si>
    <t xml:space="preserve">Neuzugänge je Monat, Monate 13–24</t>
  </si>
  <si>
    <t xml:space="preserve">Neuzugänge je Monat, Monate 25–36</t>
  </si>
  <si>
    <t xml:space="preserve">Neuzugänge je Monat, Monate 37–60</t>
  </si>
  <si>
    <t xml:space="preserve">Maximaler Mitgliederbestand (Obergrenze)</t>
  </si>
  <si>
    <t xml:space="preserve">≈ 1.11 Mitglieder je m²</t>
  </si>
  <si>
    <t xml:space="preserve">Anteil gleichzeitig anwesender Mitglieder zur Spitzenzeit</t>
  </si>
  <si>
    <t xml:space="preserve">Prüfung gegen Personen-Kapazität (Blatt Mitglieder)</t>
  </si>
  <si>
    <t xml:space="preserve">Szenarien (Faktoren)</t>
  </si>
  <si>
    <t xml:space="preserve">Szenario</t>
  </si>
  <si>
    <t xml:space="preserve">Neuzugänge ×</t>
  </si>
  <si>
    <t xml:space="preserve">Kündigung/Monat</t>
  </si>
  <si>
    <t xml:space="preserve">Beitragsniveau ×</t>
  </si>
  <si>
    <t xml:space="preserve">1 pessimistisch</t>
  </si>
  <si>
    <t xml:space="preserve">2 Basis</t>
  </si>
  <si>
    <t xml:space="preserve">3 optimistisch</t>
  </si>
  <si>
    <t xml:space="preserve">Aktiver Faktor Neuzugänge</t>
  </si>
  <si>
    <t xml:space="preserve">Formel (Szenario)</t>
  </si>
  <si>
    <t xml:space="preserve">Aktive Kündigungsquote je Monat</t>
  </si>
  <si>
    <t xml:space="preserve">Formel (Szenario) – 2,5 %/Monat ≈ 26 % p. a.</t>
  </si>
  <si>
    <t xml:space="preserve">Aktiver Faktor Beitragsniveau</t>
  </si>
  <si>
    <t xml:space="preserve">Personal (Stellenplan, Bruttogehalt je Monat und Person)</t>
  </si>
  <si>
    <t xml:space="preserve">Arbeitgeberanteil Sozialversicherung (sv-pflichtig)</t>
  </si>
  <si>
    <t xml:space="preserve">inkl. Umlagen</t>
  </si>
  <si>
    <t xml:space="preserve">Pauschalabgaben Minijob</t>
  </si>
  <si>
    <t xml:space="preserve">Gehaltssteigerung je Jahr</t>
  </si>
  <si>
    <t xml:space="preserve">ab Jahr 2</t>
  </si>
  <si>
    <t xml:space="preserve">Rolle</t>
  </si>
  <si>
    <t xml:space="preserve">Anzahl</t>
  </si>
  <si>
    <t xml:space="preserve">Brutto/Monat</t>
  </si>
  <si>
    <t xml:space="preserve">Minijob (1/0) | ab Monat</t>
  </si>
  <si>
    <t xml:space="preserve">Minijob</t>
  </si>
  <si>
    <t xml:space="preserve">ab Monat</t>
  </si>
  <si>
    <t xml:space="preserve">Geschäftsführung / Studioleitung (Gründer)</t>
  </si>
  <si>
    <t xml:space="preserve">sozialversicherungspflichtig</t>
  </si>
  <si>
    <t xml:space="preserve">Stellv. Studioleitung / Trainer (Vollzeit, Lizenz A)</t>
  </si>
  <si>
    <t xml:space="preserve">Fitnesstrainer (Vollzeit)</t>
  </si>
  <si>
    <t xml:space="preserve">Fitnesstrainer (Vollzeit, ab Jahr 2)</t>
  </si>
  <si>
    <t xml:space="preserve">Trainer / Kursleiter (Teilzeit 50 %)</t>
  </si>
  <si>
    <t xml:space="preserve">Empfang / Service (Teilzeit 50 %)</t>
  </si>
  <si>
    <t xml:space="preserve">Empfang / Abend und Wochenende (Minijob)</t>
  </si>
  <si>
    <t xml:space="preserve">Reinigung Abend (Minijob)</t>
  </si>
  <si>
    <t xml:space="preserve">Personalkosten je Monat bei voller Besetzung (AG-Brutto, Jahr 1)</t>
  </si>
  <si>
    <t xml:space="preserve">Vollzeitäquivalente (ohne Minijobs, Teilzeit = 0,5)</t>
  </si>
  <si>
    <t xml:space="preserve">VZÄ</t>
  </si>
  <si>
    <t xml:space="preserve">Formel (Teilzeit erkannt an Brutto &lt; 2.000 €)</t>
  </si>
  <si>
    <t xml:space="preserve">Sachkosten je Monat (netto)</t>
  </si>
  <si>
    <t xml:space="preserve">Marketing laufend (Online, Social, Print, Aktionen)</t>
  </si>
  <si>
    <t xml:space="preserve">Marketing zusätzlich in % vom Umsatz</t>
  </si>
  <si>
    <t xml:space="preserve">Marketing Eröffnungsphase zusätzlich (Monate 1–3)</t>
  </si>
  <si>
    <t xml:space="preserve">Marketing Vorverkauf (gesamt, vor Eröffnung)</t>
  </si>
  <si>
    <t xml:space="preserve">verteilt auf die letzten Vorlaufmonate</t>
  </si>
  <si>
    <t xml:space="preserve">Vorverkaufsdauer</t>
  </si>
  <si>
    <t xml:space="preserve">Versicherungen (Betriebshaftpflicht, Inhalt, Betriebsunterbrechung, Rechtsschutz)</t>
  </si>
  <si>
    <t xml:space="preserve">ohne Vorsteuer (Versicherungsteuer)</t>
  </si>
  <si>
    <t xml:space="preserve">GEMA / GVL (Musik in Trainingsfläche und Kursen)</t>
  </si>
  <si>
    <t xml:space="preserve">Studiosoftware, Zutritt, App, Lastschriftmanagement</t>
  </si>
  <si>
    <t xml:space="preserve">Zahlungsverkehr (Lastschrift, Karten, Rücklastschriften) in % vom Beitragsumsatz brutto</t>
  </si>
  <si>
    <t xml:space="preserve">Steuerberatung, Buchhaltung, Lohnabrechnung, Jahresabschluss</t>
  </si>
  <si>
    <t xml:space="preserve">ab Monat −4</t>
  </si>
  <si>
    <t xml:space="preserve">Reinigungsmaterial, Hygiene, Handtuchservice, Verbrauchsmaterial</t>
  </si>
  <si>
    <t xml:space="preserve">Reinigungspersonal im Stellenplan</t>
  </si>
  <si>
    <t xml:space="preserve">Telekommunikation, Internet, IT, Musik-Streaming</t>
  </si>
  <si>
    <t xml:space="preserve">Wartung/Instandhaltung Geräte in % vom Gerätewert je Jahr</t>
  </si>
  <si>
    <t xml:space="preserve">Cardio-Wartungsverträge, Ersatzteile, Polster</t>
  </si>
  <si>
    <t xml:space="preserve">Instandhaltung Gebäude/Technik</t>
  </si>
  <si>
    <t xml:space="preserve">€/m²/Jahr</t>
  </si>
  <si>
    <t xml:space="preserve">Lüftung, Sauna, Sanitär</t>
  </si>
  <si>
    <t xml:space="preserve">Sonstiges (Büro, Fortbildung, Beiträge IHK/DSSV, Kfz, Kleinreparaturen)</t>
  </si>
  <si>
    <t xml:space="preserve">Gründungskosten GmbH (Notar, Register, Anmeldungen)</t>
  </si>
  <si>
    <t xml:space="preserve">Investition/Anlaufkosten</t>
  </si>
  <si>
    <t xml:space="preserve">Beratung Businessplan / Steuerberatung Gründung</t>
  </si>
  <si>
    <t xml:space="preserve">Investition und Abschreibung</t>
  </si>
  <si>
    <t xml:space="preserve">Unvorhergesehenes in % der Investitionssumme</t>
  </si>
  <si>
    <t xml:space="preserve">auf Geräte, Ausbau, Sanitär, Planung, Sonstiges</t>
  </si>
  <si>
    <t xml:space="preserve">Nutzungsdauer Geräte</t>
  </si>
  <si>
    <t xml:space="preserve">Jahre</t>
  </si>
  <si>
    <t xml:space="preserve">AfA-Tabelle: Fitnessgeräte</t>
  </si>
  <si>
    <t xml:space="preserve">Nutzungsdauer Mieterausbau</t>
  </si>
  <si>
    <t xml:space="preserve">Mietvertragslaufzeit</t>
  </si>
  <si>
    <t xml:space="preserve">Nutzungsdauer Sonstiges (Software, Zutritt)</t>
  </si>
  <si>
    <t xml:space="preserve">Eigenkapital (Bareinlage Gründer/Familie, Stammkapital + Rücklage)</t>
  </si>
  <si>
    <t xml:space="preserve">Planannahme – bitte mit tatsächlich verfügbaren Mitteln füllen</t>
  </si>
  <si>
    <t xml:space="preserve">Darlehen 1</t>
  </si>
  <si>
    <t xml:space="preserve">MBG Baden-Württemberg – stille Beteiligung Existenzgründung (wirtschaftliches Eigenkapital)</t>
  </si>
  <si>
    <t xml:space="preserve">Darlehen 1: Betrag</t>
  </si>
  <si>
    <t xml:space="preserve">Darlehen 1: zählt als wirtschaftliches Eigenkapital (1 = ja, 0 = nein)</t>
  </si>
  <si>
    <t xml:space="preserve">nachrangige stille Beteiligung (MBG) = 1</t>
  </si>
  <si>
    <t xml:space="preserve">Darlehen 1: Zinssatz</t>
  </si>
  <si>
    <t xml:space="preserve">Planannahme (Programmzins, Preisklasse Hausbank)</t>
  </si>
  <si>
    <t xml:space="preserve">Darlehen 1: Laufzeit</t>
  </si>
  <si>
    <t xml:space="preserve">Darlehen 1: tilgungsfreie Anlaufjahre</t>
  </si>
  <si>
    <t xml:space="preserve">danach gleiche Tilgungsraten (linear)</t>
  </si>
  <si>
    <t xml:space="preserve">Darlehen 1: Auszahlung im Monat</t>
  </si>
  <si>
    <t xml:space="preserve">Monat</t>
  </si>
  <si>
    <t xml:space="preserve">negativ = Vorlaufmonat</t>
  </si>
  <si>
    <t xml:space="preserve">Darlehen 1: Haftungsfreistellung / Bürgschaftsquote</t>
  </si>
  <si>
    <t xml:space="preserve">KfW-Haftungsfreistellung bzw. Bürgschaftsbank</t>
  </si>
  <si>
    <t xml:space="preserve">Darlehen 2</t>
  </si>
  <si>
    <t xml:space="preserve">KfW ERP-Förderkredit Gründung und Nachfolge (077), 100 % Garantie Bürgschaftsbank</t>
  </si>
  <si>
    <t xml:space="preserve">Darlehen 2: Betrag</t>
  </si>
  <si>
    <t xml:space="preserve">Darlehen 2: zählt als wirtschaftliches Eigenkapital (1 = ja, 0 = nein)</t>
  </si>
  <si>
    <t xml:space="preserve">Darlehen 2: Zinssatz</t>
  </si>
  <si>
    <t xml:space="preserve">Darlehen 2: Laufzeit</t>
  </si>
  <si>
    <t xml:space="preserve">Darlehen 2: tilgungsfreie Anlaufjahre</t>
  </si>
  <si>
    <t xml:space="preserve">Darlehen 2: Auszahlung im Monat</t>
  </si>
  <si>
    <t xml:space="preserve">Darlehen 2: Haftungsfreistellung / Bürgschaftsquote</t>
  </si>
  <si>
    <t xml:space="preserve">Darlehen 3</t>
  </si>
  <si>
    <t xml:space="preserve">KfW ERP-Gründerkredit StartGeld (067), 80 % Haftungsfreistellung</t>
  </si>
  <si>
    <t xml:space="preserve">Darlehen 3: Betrag</t>
  </si>
  <si>
    <t xml:space="preserve">Darlehen 3: zählt als wirtschaftliches Eigenkapital (1 = ja, 0 = nein)</t>
  </si>
  <si>
    <t xml:space="preserve">Darlehen 3: Zinssatz</t>
  </si>
  <si>
    <t xml:space="preserve">Darlehen 3: Laufzeit</t>
  </si>
  <si>
    <t xml:space="preserve">Darlehen 3: tilgungsfreie Anlaufjahre</t>
  </si>
  <si>
    <t xml:space="preserve">Darlehen 3: Auszahlung im Monat</t>
  </si>
  <si>
    <t xml:space="preserve">Darlehen 3: Haftungsfreistellung / Bürgschaftsquote</t>
  </si>
  <si>
    <t xml:space="preserve">Darlehen 4</t>
  </si>
  <si>
    <t xml:space="preserve">L-Bank Gründungsfinanzierung (GuW-BW) über Hausbank, 80 % Bürgschaft Bürgschaftsbank BW (Restfinanzierung)</t>
  </si>
  <si>
    <t xml:space="preserve">Darlehen 4: Betrag (Restfinanzierung = Kapitalbedarf − Eigenkapital − übrige Darlehen)</t>
  </si>
  <si>
    <t xml:space="preserve">Formel; bei Bedarf durch festen Betrag ersetzen</t>
  </si>
  <si>
    <t xml:space="preserve">Darlehen 4: zählt als wirtschaftliches Eigenkapital (1 = ja, 0 = nein)</t>
  </si>
  <si>
    <t xml:space="preserve">Darlehen 4: Zinssatz</t>
  </si>
  <si>
    <t xml:space="preserve">Darlehen 4: Laufzeit</t>
  </si>
  <si>
    <t xml:space="preserve">Darlehen 4: tilgungsfreie Anlaufjahre</t>
  </si>
  <si>
    <t xml:space="preserve">Darlehen 4: Auszahlung im Monat</t>
  </si>
  <si>
    <t xml:space="preserve">Darlehen 4: Haftungsfreistellung / Bürgschaftsquote</t>
  </si>
  <si>
    <t xml:space="preserve">Anlaufreserve / Betriebsmittel (Deckung der ersten 24 Monate)</t>
  </si>
  <si>
    <t xml:space="preserve">Blatt Kennzahlen: berechneter Bedarf inkl. Puffer – Eingabe sollte ≥ Bedarf sein</t>
  </si>
  <si>
    <t xml:space="preserve">Sicherheitspuffer auf den berechneten Reservebedarf</t>
  </si>
  <si>
    <t xml:space="preserve">Kontokorrentrahmen (für USt-Vorfinanzierung, nicht im Kapitalbedarf)</t>
  </si>
  <si>
    <t xml:space="preserve">Vorsteuer auf Investitionen wird vom Finanzamt erstattet</t>
  </si>
  <si>
    <t xml:space="preserve">Steuern</t>
  </si>
  <si>
    <t xml:space="preserve">Gewerbesteuer-Hebesatz Standortgemeinde</t>
  </si>
  <si>
    <t xml:space="preserve">Planannahme, gemeindeabhängig</t>
  </si>
  <si>
    <t xml:space="preserve">Gewerbesteuer-Messzahl</t>
  </si>
  <si>
    <t xml:space="preserve">Körperschaftsteuer</t>
  </si>
  <si>
    <t xml:space="preserve">Solidaritätszuschlag auf KSt</t>
  </si>
  <si>
    <t xml:space="preserve">Ertragsteuersatz gesamt (GmbH)</t>
  </si>
  <si>
    <t xml:space="preserve">Verzögerung USt-Zahlung/-Erstattung</t>
  </si>
  <si>
    <t xml:space="preserve">0 oder 1 (Voranmeldung im Folgemonat)</t>
  </si>
  <si>
    <t xml:space="preserve">Investition und Kapitalbedarf (netto, EUR)</t>
  </si>
  <si>
    <t xml:space="preserve">Gerätepositionen und Ausbau aus der GymPlanner-Kalkulation (Blatt-Quelle: Stückliste No.1, Miete 8,50 €/m²). Vor Vertragsabschluss durch Angebote ersetzen. Zahlungsplan rechts: Verteilung auf die Vorlaufmonate.</t>
  </si>
  <si>
    <t xml:space="preserve">Zahlungsplan (netto) je Monat</t>
  </si>
  <si>
    <t xml:space="preserve">Gruppe</t>
  </si>
  <si>
    <t xml:space="preserve">Position</t>
  </si>
  <si>
    <t xml:space="preserve">Betrag netto</t>
  </si>
  <si>
    <t xml:space="preserve">AfA Jahre</t>
  </si>
  <si>
    <t xml:space="preserve">AfA je Jahr</t>
  </si>
  <si>
    <t xml:space="preserve">Vorsteuer</t>
  </si>
  <si>
    <t xml:space="preserve">Hinweis</t>
  </si>
  <si>
    <t xml:space="preserve">Geräte</t>
  </si>
  <si>
    <t xml:space="preserve">Geräte Kraftgeräte</t>
  </si>
  <si>
    <t xml:space="preserve">52 Objekte lt. Stückliste</t>
  </si>
  <si>
    <t xml:space="preserve">Geräte Freihantel-Zubehör</t>
  </si>
  <si>
    <t xml:space="preserve">10 Objekte lt. Stückliste</t>
  </si>
  <si>
    <t xml:space="preserve">Geräte Cardio</t>
  </si>
  <si>
    <t xml:space="preserve">20 Objekte lt. Stückliste</t>
  </si>
  <si>
    <t xml:space="preserve">Geräte Functional</t>
  </si>
  <si>
    <t xml:space="preserve">22 Objekte lt. Stückliste</t>
  </si>
  <si>
    <t xml:space="preserve">Geräte Kursraum</t>
  </si>
  <si>
    <t xml:space="preserve">28 Objekte lt. Stückliste</t>
  </si>
  <si>
    <t xml:space="preserve">Geräte Empfang &amp; Lounge</t>
  </si>
  <si>
    <t xml:space="preserve">Geräte Umkleide</t>
  </si>
  <si>
    <t xml:space="preserve">39 Objekte lt. Stückliste</t>
  </si>
  <si>
    <t xml:space="preserve">Geräte Sanitär</t>
  </si>
  <si>
    <t xml:space="preserve">18 Objekte lt. Stückliste</t>
  </si>
  <si>
    <t xml:space="preserve">Geräte Wellness</t>
  </si>
  <si>
    <t xml:space="preserve">8 Objekte lt. Stückliste</t>
  </si>
  <si>
    <t xml:space="preserve">Geräte Büro &amp; Personal</t>
  </si>
  <si>
    <t xml:space="preserve">12 Objekte lt. Stückliste</t>
  </si>
  <si>
    <t xml:space="preserve">Geräte Lager &amp; Technik</t>
  </si>
  <si>
    <t xml:space="preserve">14 Objekte lt. Stückliste</t>
  </si>
  <si>
    <t xml:space="preserve">Geräte Ausstattung</t>
  </si>
  <si>
    <t xml:space="preserve">111 Objekte lt. Stückliste</t>
  </si>
  <si>
    <t xml:space="preserve">Import-Nebenkosten (Fracht, Zoll) Atlantis/Prime</t>
  </si>
  <si>
    <t xml:space="preserve">Fracht, Zoll, EUSt auf Atlantis/Prime-Geräte</t>
  </si>
  <si>
    <t xml:space="preserve">Ausbau</t>
  </si>
  <si>
    <t xml:space="preserve">Grundausbau (Trockenbau, Elektro, LED, Heizung, Maler)</t>
  </si>
  <si>
    <t xml:space="preserve">1931 m² × 250 €</t>
  </si>
  <si>
    <t xml:space="preserve">Sportboden Trainingsfläche</t>
  </si>
  <si>
    <t xml:space="preserve">1139 m² × 55 €</t>
  </si>
  <si>
    <t xml:space="preserve">Nassbereich-Boden Umkleide/Sanitär</t>
  </si>
  <si>
    <t xml:space="preserve">159 m² × 90 €</t>
  </si>
  <si>
    <t xml:space="preserve">Lüftung (RLT-Anlage)</t>
  </si>
  <si>
    <t xml:space="preserve">1931 m² × 110 €</t>
  </si>
  <si>
    <t xml:space="preserve">Spiegelwände</t>
  </si>
  <si>
    <t xml:space="preserve">33 m × 660 €</t>
  </si>
  <si>
    <t xml:space="preserve">Brandschutz / Sicherheitsbeleuchtung</t>
  </si>
  <si>
    <t xml:space="preserve">1931 m² × 30 €</t>
  </si>
  <si>
    <t xml:space="preserve">Sanitär</t>
  </si>
  <si>
    <t xml:space="preserve">Sanitärinstallation Duschen</t>
  </si>
  <si>
    <t xml:space="preserve">18 Stk. × 1500 €</t>
  </si>
  <si>
    <t xml:space="preserve">Sanitärinstallation WCs/Urinale</t>
  </si>
  <si>
    <t xml:space="preserve">11 Stk. × 800 €</t>
  </si>
  <si>
    <t xml:space="preserve">Sanitärinstallation Waschtische</t>
  </si>
  <si>
    <t xml:space="preserve">8 Stk. × 500 €</t>
  </si>
  <si>
    <t xml:space="preserve">Planung</t>
  </si>
  <si>
    <t xml:space="preserve">Planung, Fachplaner, Genehmigung (Nutzungsänderung)</t>
  </si>
  <si>
    <t xml:space="preserve">Prozent der Ausbau- und Sanitärsumme</t>
  </si>
  <si>
    <t xml:space="preserve">Sonstiges</t>
  </si>
  <si>
    <t xml:space="preserve">Zutrittssystem, Studiosoftware-Einrichtung, Kleinmaterial, Brandschutzkonzept</t>
  </si>
  <si>
    <t xml:space="preserve">Marketing, Software, Kleinmaterial</t>
  </si>
  <si>
    <t xml:space="preserve">Reserve</t>
  </si>
  <si>
    <t xml:space="preserve">Unvorhergesehenes (10 % der Investitionssumme)</t>
  </si>
  <si>
    <t xml:space="preserve">Reserve für Mehrkosten im Ausbau</t>
  </si>
  <si>
    <t xml:space="preserve">Mietkaution (3 Monatsmieten inkl. Nebenkosten)</t>
  </si>
  <si>
    <t xml:space="preserve">Sicherheitsleistung, kein Aufwand</t>
  </si>
  <si>
    <t xml:space="preserve">Gründung</t>
  </si>
  <si>
    <t xml:space="preserve">Gründungskosten GmbH (Notar, Handelsregister, Gewerbeanmeldung)</t>
  </si>
  <si>
    <t xml:space="preserve">Beratung (Businessplan, Steuerberatung Gründung)</t>
  </si>
  <si>
    <t xml:space="preserve">Investitionssumme (ohne Anlaufreserve)</t>
  </si>
  <si>
    <t xml:space="preserve">Summe netto</t>
  </si>
  <si>
    <t xml:space="preserve">Anlaufreserve / Betriebsmittel (24 Monate)</t>
  </si>
  <si>
    <t xml:space="preserve">Kapitalbedarf gesamt</t>
  </si>
  <si>
    <t xml:space="preserve">Gerätewert (Geräte + Import) – Basis Wartung</t>
  </si>
  <si>
    <t xml:space="preserve">Gründungs-/Beratungskosten (Aufwand Jahr 1)</t>
  </si>
  <si>
    <t xml:space="preserve">Umsatzsteuer auf Investitionen (Vorsteuer, wird erstattet – Zwischenfinanzierung)</t>
  </si>
  <si>
    <t xml:space="preserve">Zusammenfassung je Gruppe</t>
  </si>
  <si>
    <t xml:space="preserve">Mitgliederentwicklung je Monat</t>
  </si>
  <si>
    <t xml:space="preserve">Bestand Ende = MIN(Obergrenze; Anfang + Neuzugänge − Kündigungen). Kündigungen = Anfangsbestand × Kündigungsquote. Monat 1 startet mit dem Vorverkaufsbestand.</t>
  </si>
  <si>
    <t xml:space="preserve">Jahr</t>
  </si>
  <si>
    <t xml:space="preserve">Periode</t>
  </si>
  <si>
    <t xml:space="preserve">Bestand Anfang</t>
  </si>
  <si>
    <t xml:space="preserve">Neuzugänge</t>
  </si>
  <si>
    <t xml:space="preserve">Kündigungen</t>
  </si>
  <si>
    <t xml:space="preserve">Bestand Ende</t>
  </si>
  <si>
    <t xml:space="preserve">Durchschnittsbestand (Abrechnungsbasis)</t>
  </si>
  <si>
    <t xml:space="preserve">Gleichzeitig anwesend zur Spitzenzeit</t>
  </si>
  <si>
    <t xml:space="preserve">Auslastung Spitzenzeit (gegen Kapazität)</t>
  </si>
  <si>
    <t xml:space="preserve">Jahreswerte</t>
  </si>
  <si>
    <t xml:space="preserve">Neuzugänge im Jahr</t>
  </si>
  <si>
    <t xml:space="preserve">Bestand am Jahresende</t>
  </si>
  <si>
    <t xml:space="preserve">Mitglieder je m² Bruttofläche</t>
  </si>
  <si>
    <t xml:space="preserve">Umsatzplanung je Monat (netto, EUR)</t>
  </si>
  <si>
    <t xml:space="preserve">Beiträge = Durchschnittsbestand × Ø Beitrag brutto ÷ (1 + USt). Beitragsanpassung ab Jahr 3. Nebenumsätze je Mitglied und Monat.</t>
  </si>
  <si>
    <t xml:space="preserve">Durchschnittsbestand</t>
  </si>
  <si>
    <t xml:space="preserve">Ø Beitrag brutto (inkl. Anpassung)</t>
  </si>
  <si>
    <t xml:space="preserve">Mitgliedsbeiträge netto</t>
  </si>
  <si>
    <t xml:space="preserve">Servicepauschale netto</t>
  </si>
  <si>
    <t xml:space="preserve">Aufnahmegebühren netto</t>
  </si>
  <si>
    <t xml:space="preserve">Nebenumsatz Getränke/Shakes netto</t>
  </si>
  <si>
    <t xml:space="preserve">Nebenumsatz Wellness/Solarium netto</t>
  </si>
  <si>
    <t xml:space="preserve">Nebenumsatz PT/Kurse netto</t>
  </si>
  <si>
    <t xml:space="preserve">Nebenumsatz Merchandise netto</t>
  </si>
  <si>
    <t xml:space="preserve">Umsatz gesamt netto</t>
  </si>
  <si>
    <t xml:space="preserve">Umsatzsteuer auf Umsatz</t>
  </si>
  <si>
    <t xml:space="preserve">Jahreswerte (netto)</t>
  </si>
  <si>
    <t xml:space="preserve">Beiträge inkl. Servicepauschale</t>
  </si>
  <si>
    <t xml:space="preserve">Aufnahmegebühren</t>
  </si>
  <si>
    <t xml:space="preserve">Nebenumsätze</t>
  </si>
  <si>
    <t xml:space="preserve">Umsatz gesamt</t>
  </si>
  <si>
    <t xml:space="preserve">Umsatz je m² Bruttofläche</t>
  </si>
  <si>
    <t xml:space="preserve">Hilfszeilen für Kennzahlen</t>
  </si>
  <si>
    <t xml:space="preserve">Betriebsergebnis (Umsatz − Kosten) ≥ 0 → 1</t>
  </si>
  <si>
    <t xml:space="preserve">Cashflow nach Kapitaldienst ≥ 0 → 1</t>
  </si>
  <si>
    <t xml:space="preserve">Kostenplanung je Monat (netto, EUR) – Vorlauf und Betrieb</t>
  </si>
  <si>
    <t xml:space="preserve">Monate &lt; 1 = Vorlauf (Ausbau, Vorverkauf): Miete nach mietfreier Zeit, Personal je Eintrittsmonat, Vorverkaufsmarketing; ab Monat 1 volle Betriebskosten.</t>
  </si>
  <si>
    <t xml:space="preserve">Vorsteuer (1/0)</t>
  </si>
  <si>
    <t xml:space="preserve">Personal (AG-Brutto inkl. Sozialabgaben)</t>
  </si>
  <si>
    <t xml:space="preserve">Betriebskosten</t>
  </si>
  <si>
    <t xml:space="preserve">Energie und Wasser</t>
  </si>
  <si>
    <t xml:space="preserve">Marketing (laufend, Eröffnung, Vorverkauf)</t>
  </si>
  <si>
    <t xml:space="preserve">Versicherungen</t>
  </si>
  <si>
    <t xml:space="preserve">GEMA / GVL</t>
  </si>
  <si>
    <t xml:space="preserve">Studiosoftware / Zutritt</t>
  </si>
  <si>
    <t xml:space="preserve">Zahlungsverkehr</t>
  </si>
  <si>
    <t xml:space="preserve">Steuerberatung / Buchhaltung</t>
  </si>
  <si>
    <t xml:space="preserve">Reinigung / Hygiene / Verbrauch</t>
  </si>
  <si>
    <t xml:space="preserve">Telekommunikation / IT</t>
  </si>
  <si>
    <t xml:space="preserve">Wartung Geräte</t>
  </si>
  <si>
    <t xml:space="preserve">Kosten gesamt (netto)</t>
  </si>
  <si>
    <t xml:space="preserve">davon vorsteuerfähig</t>
  </si>
  <si>
    <t xml:space="preserve">Vorsteuer auf Kosten</t>
  </si>
  <si>
    <t xml:space="preserve">Vorsteuer-Flag je Zeile in Spalte BQ (1 = Vorsteuer abziehbar)</t>
  </si>
  <si>
    <t xml:space="preserve">Jahreswerte (netto; Jahr 1 inkl. Vorlauf)</t>
  </si>
  <si>
    <t xml:space="preserve">Kosten gesamt</t>
  </si>
  <si>
    <t xml:space="preserve">Finanzierungsplan – Mittelverwendung, Mittelherkunft, Tilgungspläne</t>
  </si>
  <si>
    <t xml:space="preserve">Mittelverwendung</t>
  </si>
  <si>
    <t xml:space="preserve">EUR</t>
  </si>
  <si>
    <t xml:space="preserve">Anteil</t>
  </si>
  <si>
    <t xml:space="preserve">Geräte und Import</t>
  </si>
  <si>
    <t xml:space="preserve">Ausbau (Mieterausbau, Lüftung, Böden, Spiegel, Brandschutz)</t>
  </si>
  <si>
    <t xml:space="preserve">Sanitärinstallation</t>
  </si>
  <si>
    <t xml:space="preserve">Planung und Genehmigung</t>
  </si>
  <si>
    <t xml:space="preserve">Sonstiges (Zutritt, Software, Kleinmaterial)</t>
  </si>
  <si>
    <t xml:space="preserve">Unvorhergesehenes</t>
  </si>
  <si>
    <t xml:space="preserve">Mietkaution</t>
  </si>
  <si>
    <t xml:space="preserve">Gründung und Beratung</t>
  </si>
  <si>
    <t xml:space="preserve">Kontrolle: = Blatt Investition</t>
  </si>
  <si>
    <t xml:space="preserve">Mittelherkunft</t>
  </si>
  <si>
    <t xml:space="preserve">Eigenkapital (Bareinlage)</t>
  </si>
  <si>
    <t xml:space="preserve">Summe Mittelherkunft</t>
  </si>
  <si>
    <t xml:space="preserve">Über-/Unterdeckung (Mittelherkunft − Kapitalbedarf)</t>
  </si>
  <si>
    <t xml:space="preserve">Eigenkapitalquote (Bareinlage + eigenkapitalähnliche Mittel) am Kapitalbedarf</t>
  </si>
  <si>
    <t xml:space="preserve">Fremdkapital gesamt (alle Darlehen und Beteiligungen)</t>
  </si>
  <si>
    <t xml:space="preserve">Tilgungspläne je Monat (Auszahlung im Vorlauf, Zins/Vergütung auf Restsaldo, lineare Tilgung nach tilgungsfreier Zeit; Laufzeit = tilgungsfreie Zeit → endfällig)</t>
  </si>
  <si>
    <t xml:space="preserve">Auszahlung</t>
  </si>
  <si>
    <t xml:space="preserve">Zinsen</t>
  </si>
  <si>
    <t xml:space="preserve">Tilgung</t>
  </si>
  <si>
    <t xml:space="preserve">Restsaldo Ende</t>
  </si>
  <si>
    <t xml:space="preserve">Monate seit Auszahlung</t>
  </si>
  <si>
    <t xml:space="preserve">Summe Auszahlungen</t>
  </si>
  <si>
    <t xml:space="preserve">Summe Zinsen</t>
  </si>
  <si>
    <t xml:space="preserve">Summe Tilgung</t>
  </si>
  <si>
    <t xml:space="preserve">Kapitaldienst (Zins + Tilgung)</t>
  </si>
  <si>
    <t xml:space="preserve">Restschuld gesamt</t>
  </si>
  <si>
    <t xml:space="preserve">Kapitaldienst je Jahr (Jahr 1 inkl. Vorlauf)</t>
  </si>
  <si>
    <t xml:space="preserve">Kapitaldienst</t>
  </si>
  <si>
    <t xml:space="preserve">Restschuld Jahresende</t>
  </si>
  <si>
    <t xml:space="preserve">Monatliche Vollrate nach der tilgungsfreien Zeit (Zins Jahr 3 + Tilgung) ≈</t>
  </si>
  <si>
    <t xml:space="preserve">Liquiditätsplan je Monat (Zahlungsströme brutto inkl. USt)</t>
  </si>
  <si>
    <t xml:space="preserve">Umsatzsteuer-Zahllast = USt auf Umsatz − Vorsteuer auf Kosten und Investition; negativer Saldo = Erstattung (Voranmeldung, Zahlung/Erstattung im Folgemonat). Steuern auf das Ergebnis werden im Folgejahr (Monat 6) fällig.</t>
  </si>
  <si>
    <t xml:space="preserve">Kassenbestand Anfang</t>
  </si>
  <si>
    <t xml:space="preserve">Einzahlungen</t>
  </si>
  <si>
    <t xml:space="preserve">Umsatz brutto (inkl. USt)</t>
  </si>
  <si>
    <t xml:space="preserve">USt-Erstattung vom Finanzamt</t>
  </si>
  <si>
    <t xml:space="preserve">Eigenkapital (Einlage + Nachrang)</t>
  </si>
  <si>
    <t xml:space="preserve">Darlehensauszahlung</t>
  </si>
  <si>
    <t xml:space="preserve">Summe Einzahlungen</t>
  </si>
  <si>
    <t xml:space="preserve">Auszahlungen</t>
  </si>
  <si>
    <t xml:space="preserve">Betriebskosten brutto (Kosten + Vorsteuer)</t>
  </si>
  <si>
    <t xml:space="preserve">Investitionen brutto (netto + Vorsteuer)</t>
  </si>
  <si>
    <t xml:space="preserve">USt-Zahllast an das Finanzamt</t>
  </si>
  <si>
    <t xml:space="preserve">Ertragsteuern</t>
  </si>
  <si>
    <t xml:space="preserve">Kassenbestand Ende</t>
  </si>
  <si>
    <t xml:space="preserve">Hilfsrechnung</t>
  </si>
  <si>
    <t xml:space="preserve">USt-Saldo des Monats (+ Zahllast / − Erstattung)</t>
  </si>
  <si>
    <t xml:space="preserve">Betriebsergebnis vor Finanzierung des Kapitalbedarfs (Umsatz − Kosten − Kapitaldienst − Steuern, netto)</t>
  </si>
  <si>
    <t xml:space="preserve">kumuliert (Basis Reservebedarf)</t>
  </si>
  <si>
    <t xml:space="preserve">Rentabilitätsvorschau (Plan-GuV) Jahr 1–5, netto EUR</t>
  </si>
  <si>
    <t xml:space="preserve">Jahr 1 = Vorlaufmonate + Betriebsmonate 1–12. Abschreibung linear. Steuern mit Verlustvortrag. DSCR = (EBITDA − Steuern) ÷ Kapitaldienst.</t>
  </si>
  <si>
    <t xml:space="preserve">Umsatzerlöse (netto)</t>
  </si>
  <si>
    <t xml:space="preserve">Wareneinsatz</t>
  </si>
  <si>
    <t xml:space="preserve">Rohertrag</t>
  </si>
  <si>
    <t xml:space="preserve">Personalkosten</t>
  </si>
  <si>
    <t xml:space="preserve">Raumkosten (Miete, Betriebskosten, Energie, Instandhaltung)</t>
  </si>
  <si>
    <t xml:space="preserve">Marketing</t>
  </si>
  <si>
    <t xml:space="preserve">Sonstige betriebliche Aufwendungen</t>
  </si>
  <si>
    <t xml:space="preserve">davon Gründungs-/Beratungskosten</t>
  </si>
  <si>
    <t xml:space="preserve">EBITDA (Betriebsergebnis vor Abschreibung und Zinsen)</t>
  </si>
  <si>
    <t xml:space="preserve">Abschreibungen</t>
  </si>
  <si>
    <t xml:space="preserve">EBIT</t>
  </si>
  <si>
    <t xml:space="preserve">Zinsaufwand</t>
  </si>
  <si>
    <t xml:space="preserve">Ergebnis vor Steuern (EBT)</t>
  </si>
  <si>
    <t xml:space="preserve">Verlustvortrag Anfang</t>
  </si>
  <si>
    <t xml:space="preserve">Steuerliche Bemessungsgrundlage</t>
  </si>
  <si>
    <t xml:space="preserve">Ertragsteuern (GewSt, KSt, Soli)</t>
  </si>
  <si>
    <t xml:space="preserve">Jahresergebnis</t>
  </si>
  <si>
    <t xml:space="preserve">Kapitaldienstfähigkeit DSCR</t>
  </si>
  <si>
    <t xml:space="preserve">Cashflow nach Kapitaldienst (EBITDA − Steuern − Kapitaldienst)</t>
  </si>
  <si>
    <t xml:space="preserve">Mitglieder am Jahresende</t>
  </si>
  <si>
    <t xml:space="preserve">EBITDA-Marge</t>
  </si>
  <si>
    <t xml:space="preserve">Personalkostenquote</t>
  </si>
  <si>
    <t xml:space="preserve">Raumkostenquote</t>
  </si>
  <si>
    <t xml:space="preserve">Kennzahl</t>
  </si>
  <si>
    <t xml:space="preserve">Wert</t>
  </si>
  <si>
    <t xml:space="preserve">davon Investition (ohne Reserve)</t>
  </si>
  <si>
    <t xml:space="preserve">davon Anlaufreserve (angesetzt)</t>
  </si>
  <si>
    <t xml:space="preserve">Eingabe Annahmen</t>
  </si>
  <si>
    <t xml:space="preserve">Berechneter Reservebedarf 24 Monate (max. kumulierter Fehlbetrag Vorlauf–Monat 24 × (1 + Puffer))</t>
  </si>
  <si>
    <t xml:space="preserve">sollte ≤ angesetzter Reserve sein</t>
  </si>
  <si>
    <t xml:space="preserve">Reserve ausreichend?</t>
  </si>
  <si>
    <t xml:space="preserve">Berechneter Reservebedarf bis Monat 36 (× (1 + Puffer))</t>
  </si>
  <si>
    <t xml:space="preserve">Niedrigster Kassenbestand (Liquiditätsplan)</t>
  </si>
  <si>
    <t xml:space="preserve">Monat des niedrigsten Kassenbestands</t>
  </si>
  <si>
    <t xml:space="preserve">Eigenkapitalquote (inkl. Nachrang) am Kapitalbedarf</t>
  </si>
  <si>
    <t xml:space="preserve">Über-/Unterdeckung Mittelherkunft</t>
  </si>
  <si>
    <t xml:space="preserve">soll ≥ 0 sein</t>
  </si>
  <si>
    <t xml:space="preserve">Ø Beitrag je Mitglied brutto (Mix)</t>
  </si>
  <si>
    <t xml:space="preserve">Deckungsbeitrag je Mitglied und Monat netto (Beitrag + Service + Nebenumsatz − Wareneinsatz − Zahlungsverkehr)</t>
  </si>
  <si>
    <t xml:space="preserve">Fixkosten je Monat im Monat 36 (ohne Wareneinsatz/Zahlungsverkehr)</t>
  </si>
  <si>
    <t xml:space="preserve">Kapitaldienst je Monat im Monat 36</t>
  </si>
  <si>
    <t xml:space="preserve">Break-even Mitglieder (Betriebskosten, ohne Kapitaldienst)</t>
  </si>
  <si>
    <t xml:space="preserve">Break-even Mitglieder (Vollkosten inkl. Kapitaldienst, Monat 36)</t>
  </si>
  <si>
    <t xml:space="preserve">Erster Monat mit positivem Betriebsergebnis (EBITDA)</t>
  </si>
  <si>
    <t xml:space="preserve">Erster Monat mit positivem Cashflow nach Kapitaldienst</t>
  </si>
  <si>
    <t xml:space="preserve">Mitglieder Ende Jahr 1 / 2 / 3</t>
  </si>
  <si>
    <t xml:space="preserve">Umsatz Jahr 3 je m² Bruttofläche</t>
  </si>
  <si>
    <t xml:space="preserve">Mitglieder je m² Bruttofläche (Ende Jahr 3)</t>
  </si>
  <si>
    <t xml:space="preserve">Branchenüblich 1,0–1,5</t>
  </si>
  <si>
    <t xml:space="preserve">Personalkostenquote Jahr 3</t>
  </si>
  <si>
    <t xml:space="preserve">Raumkostenquote Jahr 3</t>
  </si>
  <si>
    <t xml:space="preserve">EBITDA-Marge Jahr 3</t>
  </si>
  <si>
    <t xml:space="preserve">DSCR Jahr 3 / 4 / 5</t>
  </si>
  <si>
    <t xml:space="preserve">Banken erwarten i. d. R. ≥ 1,2 nach Anlaufphase</t>
  </si>
  <si>
    <t xml:space="preserve">Restschuld Ende Jahr 5</t>
  </si>
  <si>
    <t xml:space="preserve">Vorsteuer auf Investitionen (Erstattung, Zwischenfinanzierung über Kontokorrent)</t>
  </si>
  <si>
    <t xml:space="preserve">Szenarienvergleich</t>
  </si>
  <si>
    <t xml:space="preserve">Werte (keine Formeln): erzeugt durch Umschalten der Zelle „Szenario“ auf dem Blatt Annahmen und Neuberechnung; Stand 27.09.2026. Zum Aktualisieren Szenario 1/2/3 wählen und die Blätter GuV/Liquiditaet/Kennzahlen ablesen.</t>
  </si>
  <si>
    <t xml:space="preserve">pessimistisch</t>
  </si>
  <si>
    <t xml:space="preserve">Basis</t>
  </si>
  <si>
    <t xml:space="preserve">optimistisch</t>
  </si>
  <si>
    <t xml:space="preserve">Neuzugänge-Faktor / Kündigungsquote / Beitragsniveau</t>
  </si>
  <si>
    <t xml:space="preserve">0,70 / 2,8 % / 0,95</t>
  </si>
  <si>
    <t xml:space="preserve">1,00 / 2,2 % / 1,00</t>
  </si>
  <si>
    <t xml:space="preserve">1,20 / 1,8 % / 1,03</t>
  </si>
  <si>
    <t xml:space="preserve">Mitglieder Ende Jahr 1</t>
  </si>
  <si>
    <t xml:space="preserve">Mitglieder Ende Jahr 2</t>
  </si>
  <si>
    <t xml:space="preserve">Mitglieder Ende Jahr 3</t>
  </si>
  <si>
    <t xml:space="preserve">Umsatz Jahr 1</t>
  </si>
  <si>
    <t xml:space="preserve">Umsatz Jahr 2</t>
  </si>
  <si>
    <t xml:space="preserve">Umsatz Jahr 3</t>
  </si>
  <si>
    <t xml:space="preserve">EBITDA Jahr 1</t>
  </si>
  <si>
    <t xml:space="preserve">EBITDA Jahr 2</t>
  </si>
  <si>
    <t xml:space="preserve">EBITDA Jahr 3</t>
  </si>
  <si>
    <t xml:space="preserve">Jahresergebnis Jahr 1</t>
  </si>
  <si>
    <t xml:space="preserve">Jahresergebnis Jahr 2</t>
  </si>
  <si>
    <t xml:space="preserve">Jahresergebnis Jahr 3</t>
  </si>
  <si>
    <t xml:space="preserve">Jahresergebnis Jahr 5</t>
  </si>
  <si>
    <t xml:space="preserve">DSCR Jahr 3</t>
  </si>
  <si>
    <t xml:space="preserve">DSCR Jahr 4</t>
  </si>
  <si>
    <t xml:space="preserve">Niedrigster Kassenbestand (Monat)</t>
  </si>
  <si>
    <t xml:space="preserve">-1.201.214 € (Monat 60)</t>
  </si>
  <si>
    <t xml:space="preserve">102.470 € (Monat 17)</t>
  </si>
  <si>
    <t xml:space="preserve">278.223 € (Monat -5)</t>
  </si>
  <si>
    <t xml:space="preserve">Reservebedarf 24 Monate inkl. Puffer</t>
  </si>
  <si>
    <t xml:space="preserve">Erster Monat EBITDA ≥ 0</t>
  </si>
  <si>
    <t xml:space="preserve">Erster Monat Cashflow nach Kapitaldienst ≥ 0</t>
  </si>
  <si>
    <t xml:space="preserve">n. e.</t>
  </si>
  <si>
    <t xml:space="preserve">Break-even Mitglieder (Vollkosten M36)</t>
  </si>
  <si>
    <t xml:space="preserve">Sensitivitäten (Basis-Szenario, jeweils eine Annahme verändert; Werte)</t>
  </si>
  <si>
    <t xml:space="preserve">Fall</t>
  </si>
  <si>
    <t xml:space="preserve">Ergebnis Jahr 3</t>
  </si>
  <si>
    <t xml:space="preserve">Reservebedarf 24 Mon.</t>
  </si>
  <si>
    <t xml:space="preserve">Neuzugänge −20 %</t>
  </si>
  <si>
    <t xml:space="preserve">Neuzugänge −30 %</t>
  </si>
  <si>
    <t xml:space="preserve">Kündigungsquote 3,0 %/Monat (statt 2,2 %)</t>
  </si>
  <si>
    <t xml:space="preserve">Beitragsniveau −10 %</t>
  </si>
  <si>
    <t xml:space="preserve">Kaltmiete 10,00 €/m² (statt 8,50 €)</t>
  </si>
  <si>
    <t xml:space="preserve">Zinsen +1,5 Prozentpunkte</t>
  </si>
  <si>
    <t xml:space="preserve">Personalkosten +10 %</t>
  </si>
  <si>
    <t xml:space="preserve">Energie/Wasser 5,50 €/m² (statt 4,00 €)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</si>
</sst>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"/>
    <numFmt numFmtId="166" formatCode="#,##0;[RED]\-#,##0;\-"/>
    <numFmt numFmtId="167" formatCode="dd\.mm\.yyyy"/>
    <numFmt numFmtId="168" formatCode="0"/>
    <numFmt numFmtId="169" formatCode="#,##0.00;[RED]\-#,##0.00;\-"/>
    <numFmt numFmtId="170" formatCode="0.0%"/>
    <numFmt numFmtId="171" formatCode="0.00"/>
    <numFmt numFmtId="172" formatCode="0.00%"/>
    <numFmt numFmtId="173" formatCode="0.0"/>
    <numFmt numFmtId="174" formatCode="@"/>
    <numFmt numFmtId="17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7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5" t="s">
        <v>4</v>
      </c>
      <c r="C7" s="2" t="s">
        <v>5</v>
      </c>
    </row>
    <row r="8" customFormat="false" ht="15" hidden="false" customHeight="false" outlineLevel="0" collapsed="false">
      <c r="B8" s="2" t="s">
        <v>6</v>
      </c>
      <c r="C8" s="2" t="s">
        <v>7</v>
      </c>
    </row>
    <row r="9" customFormat="false" ht="15" hidden="false" customHeight="false" outlineLevel="0" collapsed="false">
      <c r="B9" s="6" t="s">
        <v>8</v>
      </c>
      <c r="C9" s="2" t="s">
        <v>9</v>
      </c>
    </row>
    <row r="10" customFormat="false" ht="15" hidden="false" customHeight="false" outlineLevel="0" collapsed="false">
      <c r="B10" s="7" t="s">
        <v>10</v>
      </c>
      <c r="C10" s="2" t="s">
        <v>11</v>
      </c>
    </row>
    <row r="12" customFormat="false" ht="15" hidden="false" customHeight="false" outlineLevel="0" collapsed="false">
      <c r="B12" s="4" t="s">
        <v>12</v>
      </c>
    </row>
    <row r="13" customFormat="false" ht="23.85" hidden="false" customHeight="false" outlineLevel="0" collapsed="false">
      <c r="B13" s="8" t="s">
        <v>13</v>
      </c>
      <c r="C13" s="9" t="s">
        <v>14</v>
      </c>
    </row>
    <row r="14" customFormat="false" ht="23.85" hidden="false" customHeight="false" outlineLevel="0" collapsed="false">
      <c r="B14" s="8" t="s">
        <v>15</v>
      </c>
      <c r="C14" s="9" t="s">
        <v>16</v>
      </c>
    </row>
    <row r="15" customFormat="false" ht="15" hidden="false" customHeight="false" outlineLevel="0" collapsed="false">
      <c r="B15" s="8" t="s">
        <v>17</v>
      </c>
      <c r="C15" s="9" t="s">
        <v>18</v>
      </c>
    </row>
    <row r="16" customFormat="false" ht="15" hidden="false" customHeight="false" outlineLevel="0" collapsed="false">
      <c r="B16" s="8" t="s">
        <v>19</v>
      </c>
      <c r="C16" s="9" t="s">
        <v>20</v>
      </c>
    </row>
    <row r="17" customFormat="false" ht="15" hidden="false" customHeight="false" outlineLevel="0" collapsed="false">
      <c r="B17" s="8" t="s">
        <v>21</v>
      </c>
      <c r="C17" s="9" t="s">
        <v>22</v>
      </c>
    </row>
    <row r="18" customFormat="false" ht="15" hidden="false" customHeight="false" outlineLevel="0" collapsed="false">
      <c r="B18" s="8" t="s">
        <v>23</v>
      </c>
      <c r="C18" s="9" t="s">
        <v>24</v>
      </c>
    </row>
    <row r="19" customFormat="false" ht="23.85" hidden="false" customHeight="false" outlineLevel="0" collapsed="false">
      <c r="B19" s="8" t="s">
        <v>25</v>
      </c>
      <c r="C19" s="9" t="s">
        <v>26</v>
      </c>
    </row>
    <row r="20" customFormat="false" ht="15" hidden="false" customHeight="false" outlineLevel="0" collapsed="false">
      <c r="B20" s="8" t="s">
        <v>27</v>
      </c>
      <c r="C20" s="9" t="s">
        <v>28</v>
      </c>
    </row>
    <row r="21" customFormat="false" ht="15" hidden="false" customHeight="false" outlineLevel="0" collapsed="false">
      <c r="B21" s="8" t="s">
        <v>29</v>
      </c>
      <c r="C21" s="9" t="s">
        <v>30</v>
      </c>
    </row>
    <row r="22" customFormat="false" ht="15" hidden="false" customHeight="false" outlineLevel="0" collapsed="false">
      <c r="B22" s="8" t="s">
        <v>31</v>
      </c>
      <c r="C22" s="9" t="s">
        <v>32</v>
      </c>
    </row>
    <row r="25" customFormat="false" ht="15" hidden="false" customHeight="false" outlineLevel="0" collapsed="false">
      <c r="B25" s="4" t="s">
        <v>33</v>
      </c>
    </row>
    <row r="26" customFormat="false" ht="30" hidden="false" customHeight="true" outlineLevel="0" collapsed="false">
      <c r="B26" s="2" t="s">
        <v>34</v>
      </c>
      <c r="C26" s="9" t="s">
        <v>35</v>
      </c>
    </row>
    <row r="27" customFormat="false" ht="30" hidden="false" customHeight="true" outlineLevel="0" collapsed="false">
      <c r="B27" s="2" t="s">
        <v>36</v>
      </c>
      <c r="C27" s="9" t="s">
        <v>37</v>
      </c>
    </row>
    <row r="28" customFormat="false" ht="30" hidden="false" customHeight="true" outlineLevel="0" collapsed="false">
      <c r="B28" s="2" t="s">
        <v>38</v>
      </c>
      <c r="C28" s="9" t="s">
        <v>39</v>
      </c>
    </row>
    <row r="29" customFormat="false" ht="30" hidden="false" customHeight="true" outlineLevel="0" collapsed="false">
      <c r="B29" s="2" t="s">
        <v>40</v>
      </c>
      <c r="C29" s="9" t="s">
        <v>41</v>
      </c>
    </row>
    <row r="30" customFormat="false" ht="30" hidden="false" customHeight="true" outlineLevel="0" collapsed="false">
      <c r="B30" s="2" t="s">
        <v>42</v>
      </c>
      <c r="C30" s="9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60"/>
    <col collapsed="false" customWidth="true" hidden="false" outlineLevel="0" max="7" min="6" style="0" width="10"/>
  </cols>
  <sheetData>
    <row r="1" customFormat="false" ht="17.35" hidden="false" customHeight="false" outlineLevel="0" collapsed="false">
      <c r="B1" s="1" t="s">
        <v>44</v>
      </c>
    </row>
    <row r="2" customFormat="false" ht="15" hidden="false" customHeight="false" outlineLevel="0" collapsed="false">
      <c r="B2" s="3" t="s">
        <v>45</v>
      </c>
    </row>
    <row r="4" customFormat="false" ht="15" hidden="false" customHeight="false" outlineLevel="0" collapsed="false">
      <c r="B4" s="10" t="s">
        <v>46</v>
      </c>
      <c r="C4" s="11"/>
      <c r="D4" s="11"/>
      <c r="E4" s="11"/>
    </row>
    <row r="5" customFormat="false" ht="15" hidden="false" customHeight="false" outlineLevel="0" collapsed="false">
      <c r="B5" s="2" t="s">
        <v>47</v>
      </c>
      <c r="C5" s="12" t="n">
        <v>1975.4</v>
      </c>
      <c r="D5" s="3" t="s">
        <v>48</v>
      </c>
      <c r="E5" s="13" t="s">
        <v>49</v>
      </c>
    </row>
    <row r="6" customFormat="false" ht="15" hidden="false" customHeight="false" outlineLevel="0" collapsed="false">
      <c r="B6" s="2" t="s">
        <v>50</v>
      </c>
      <c r="C6" s="12" t="n">
        <v>1931.13</v>
      </c>
      <c r="D6" s="3" t="s">
        <v>48</v>
      </c>
      <c r="E6" s="13" t="s">
        <v>51</v>
      </c>
    </row>
    <row r="7" customFormat="false" ht="15" hidden="false" customHeight="false" outlineLevel="0" collapsed="false">
      <c r="B7" s="2" t="s">
        <v>52</v>
      </c>
      <c r="C7" s="12" t="n">
        <v>1138.58</v>
      </c>
      <c r="D7" s="3" t="s">
        <v>48</v>
      </c>
      <c r="E7" s="13" t="s">
        <v>53</v>
      </c>
    </row>
    <row r="8" customFormat="false" ht="15" hidden="false" customHeight="false" outlineLevel="0" collapsed="false">
      <c r="B8" s="2" t="s">
        <v>54</v>
      </c>
      <c r="C8" s="14" t="n">
        <v>126</v>
      </c>
      <c r="D8" s="3" t="s">
        <v>55</v>
      </c>
      <c r="E8" s="13" t="s">
        <v>56</v>
      </c>
    </row>
    <row r="9" customFormat="false" ht="15" hidden="false" customHeight="false" outlineLevel="0" collapsed="false">
      <c r="B9" s="2" t="s">
        <v>57</v>
      </c>
      <c r="C9" s="14" t="n">
        <v>5</v>
      </c>
      <c r="D9" s="3" t="s">
        <v>58</v>
      </c>
      <c r="E9" s="13" t="s">
        <v>59</v>
      </c>
    </row>
    <row r="10" customFormat="false" ht="15" hidden="false" customHeight="false" outlineLevel="0" collapsed="false">
      <c r="B10" s="2" t="s">
        <v>60</v>
      </c>
      <c r="C10" s="15" t="n">
        <v>46631</v>
      </c>
      <c r="D10" s="3"/>
      <c r="E10" s="13" t="s">
        <v>61</v>
      </c>
    </row>
    <row r="11" customFormat="false" ht="15" hidden="false" customHeight="false" outlineLevel="0" collapsed="false">
      <c r="B11" s="2" t="s">
        <v>62</v>
      </c>
      <c r="C11" s="16" t="n">
        <v>2</v>
      </c>
      <c r="D11" s="3"/>
      <c r="E11" s="13" t="s">
        <v>63</v>
      </c>
    </row>
    <row r="12" customFormat="false" ht="15" hidden="false" customHeight="false" outlineLevel="0" collapsed="false">
      <c r="B12" s="10" t="s">
        <v>64</v>
      </c>
      <c r="C12" s="11"/>
      <c r="D12" s="11"/>
      <c r="E12" s="11"/>
    </row>
    <row r="13" customFormat="false" ht="15" hidden="false" customHeight="false" outlineLevel="0" collapsed="false">
      <c r="B13" s="2" t="s">
        <v>65</v>
      </c>
      <c r="C13" s="17" t="n">
        <v>8.5</v>
      </c>
      <c r="D13" s="3" t="s">
        <v>66</v>
      </c>
      <c r="E13" s="13" t="s">
        <v>67</v>
      </c>
    </row>
    <row r="14" customFormat="false" ht="15" hidden="false" customHeight="false" outlineLevel="0" collapsed="false">
      <c r="B14" s="2" t="s">
        <v>68</v>
      </c>
      <c r="C14" s="17" t="n">
        <v>2</v>
      </c>
      <c r="D14" s="3" t="s">
        <v>66</v>
      </c>
      <c r="E14" s="13"/>
    </row>
    <row r="15" customFormat="false" ht="15" hidden="false" customHeight="false" outlineLevel="0" collapsed="false">
      <c r="B15" s="2" t="s">
        <v>69</v>
      </c>
      <c r="C15" s="17" t="n">
        <v>4</v>
      </c>
      <c r="D15" s="3" t="s">
        <v>66</v>
      </c>
      <c r="E15" s="13" t="s">
        <v>70</v>
      </c>
    </row>
    <row r="16" customFormat="false" ht="15" hidden="false" customHeight="false" outlineLevel="0" collapsed="false">
      <c r="B16" s="2" t="s">
        <v>71</v>
      </c>
      <c r="C16" s="14" t="n">
        <v>3</v>
      </c>
      <c r="D16" s="3" t="s">
        <v>72</v>
      </c>
      <c r="E16" s="13" t="s">
        <v>73</v>
      </c>
    </row>
    <row r="17" customFormat="false" ht="15" hidden="false" customHeight="false" outlineLevel="0" collapsed="false">
      <c r="B17" s="2" t="s">
        <v>74</v>
      </c>
      <c r="C17" s="14" t="n">
        <v>3</v>
      </c>
      <c r="D17" s="3" t="s">
        <v>58</v>
      </c>
      <c r="E17" s="13" t="s">
        <v>75</v>
      </c>
    </row>
    <row r="18" customFormat="false" ht="15" hidden="false" customHeight="false" outlineLevel="0" collapsed="false">
      <c r="B18" s="2" t="s">
        <v>76</v>
      </c>
      <c r="C18" s="18" t="n">
        <v>0.02</v>
      </c>
      <c r="D18" s="3" t="s">
        <v>77</v>
      </c>
      <c r="E18" s="13" t="s">
        <v>78</v>
      </c>
    </row>
    <row r="19" customFormat="false" ht="15" hidden="false" customHeight="false" outlineLevel="0" collapsed="false">
      <c r="B19" s="2" t="s">
        <v>79</v>
      </c>
      <c r="C19" s="19" t="n">
        <v>1</v>
      </c>
      <c r="D19" s="3"/>
      <c r="E19" s="13" t="s">
        <v>80</v>
      </c>
    </row>
    <row r="20" customFormat="false" ht="15" hidden="false" customHeight="false" outlineLevel="0" collapsed="false">
      <c r="B20" s="10" t="s">
        <v>81</v>
      </c>
      <c r="C20" s="11"/>
      <c r="D20" s="11"/>
      <c r="E20" s="11"/>
    </row>
    <row r="21" customFormat="false" ht="15" hidden="false" customHeight="false" outlineLevel="0" collapsed="false">
      <c r="B21" s="2" t="s">
        <v>82</v>
      </c>
      <c r="C21" s="17" t="n">
        <v>44.9</v>
      </c>
      <c r="D21" s="3" t="s">
        <v>83</v>
      </c>
      <c r="E21" s="13"/>
    </row>
    <row r="22" customFormat="false" ht="15" hidden="false" customHeight="false" outlineLevel="0" collapsed="false">
      <c r="B22" s="2" t="s">
        <v>84</v>
      </c>
      <c r="C22" s="18" t="n">
        <v>0.4</v>
      </c>
      <c r="D22" s="3"/>
      <c r="E22" s="13"/>
    </row>
    <row r="23" customFormat="false" ht="15" hidden="false" customHeight="false" outlineLevel="0" collapsed="false">
      <c r="B23" s="2" t="s">
        <v>85</v>
      </c>
      <c r="C23" s="17" t="n">
        <v>59.9</v>
      </c>
      <c r="D23" s="3" t="s">
        <v>83</v>
      </c>
      <c r="E23" s="13"/>
    </row>
    <row r="24" customFormat="false" ht="15" hidden="false" customHeight="false" outlineLevel="0" collapsed="false">
      <c r="B24" s="2" t="s">
        <v>86</v>
      </c>
      <c r="C24" s="18" t="n">
        <v>0.45</v>
      </c>
      <c r="D24" s="3"/>
      <c r="E24" s="13"/>
    </row>
    <row r="25" customFormat="false" ht="15" hidden="false" customHeight="false" outlineLevel="0" collapsed="false">
      <c r="B25" s="2" t="s">
        <v>87</v>
      </c>
      <c r="C25" s="17" t="n">
        <v>34.9</v>
      </c>
      <c r="D25" s="3" t="s">
        <v>83</v>
      </c>
      <c r="E25" s="13"/>
    </row>
    <row r="26" customFormat="false" ht="15" hidden="false" customHeight="false" outlineLevel="0" collapsed="false">
      <c r="B26" s="2" t="s">
        <v>88</v>
      </c>
      <c r="C26" s="18" t="n">
        <v>0.15</v>
      </c>
      <c r="D26" s="3"/>
      <c r="E26" s="13" t="s">
        <v>89</v>
      </c>
    </row>
    <row r="27" customFormat="false" ht="15" hidden="false" customHeight="false" outlineLevel="0" collapsed="false">
      <c r="B27" s="2" t="s">
        <v>90</v>
      </c>
      <c r="C27" s="17" t="n">
        <v>24.9</v>
      </c>
      <c r="D27" s="3" t="s">
        <v>91</v>
      </c>
      <c r="E27" s="13" t="s">
        <v>92</v>
      </c>
    </row>
    <row r="28" customFormat="false" ht="15" hidden="false" customHeight="false" outlineLevel="0" collapsed="false">
      <c r="B28" s="2" t="s">
        <v>93</v>
      </c>
      <c r="C28" s="17" t="n">
        <v>49</v>
      </c>
      <c r="D28" s="3" t="s">
        <v>91</v>
      </c>
      <c r="E28" s="13" t="s">
        <v>94</v>
      </c>
    </row>
    <row r="29" customFormat="false" ht="15" hidden="false" customHeight="false" outlineLevel="0" collapsed="false">
      <c r="B29" s="2" t="s">
        <v>95</v>
      </c>
      <c r="C29" s="18" t="n">
        <v>0.7</v>
      </c>
      <c r="D29" s="3"/>
      <c r="E29" s="13" t="s">
        <v>96</v>
      </c>
    </row>
    <row r="30" customFormat="false" ht="15" hidden="false" customHeight="false" outlineLevel="0" collapsed="false">
      <c r="B30" s="2" t="s">
        <v>97</v>
      </c>
      <c r="C30" s="18" t="n">
        <v>0.02</v>
      </c>
      <c r="D30" s="3" t="s">
        <v>77</v>
      </c>
      <c r="E30" s="13" t="s">
        <v>98</v>
      </c>
    </row>
    <row r="31" customFormat="false" ht="15" hidden="false" customHeight="false" outlineLevel="0" collapsed="false">
      <c r="B31" s="2" t="s">
        <v>99</v>
      </c>
      <c r="C31" s="18" t="n">
        <v>0.19</v>
      </c>
      <c r="D31" s="3"/>
      <c r="E31" s="13" t="s">
        <v>100</v>
      </c>
    </row>
    <row r="32" customFormat="false" ht="15" hidden="false" customHeight="false" outlineLevel="0" collapsed="false">
      <c r="B32" s="2" t="s">
        <v>101</v>
      </c>
      <c r="C32" s="20" t="n">
        <f aca="false">(Beitrag_Basic*Anteil_Basic+Beitrag_Premium*Anteil_Premium+Beitrag_Student*Anteil_Student)*Beitrag_Faktor</f>
        <v>50.15</v>
      </c>
      <c r="D32" s="3" t="s">
        <v>83</v>
      </c>
      <c r="E32" s="13" t="s">
        <v>102</v>
      </c>
    </row>
    <row r="33" customFormat="false" ht="15" hidden="false" customHeight="false" outlineLevel="0" collapsed="false">
      <c r="B33" s="10" t="s">
        <v>103</v>
      </c>
      <c r="C33" s="11"/>
      <c r="D33" s="11"/>
      <c r="E33" s="11"/>
    </row>
    <row r="34" customFormat="false" ht="15" hidden="false" customHeight="false" outlineLevel="0" collapsed="false">
      <c r="B34" s="2" t="s">
        <v>104</v>
      </c>
      <c r="C34" s="17" t="n">
        <v>3</v>
      </c>
      <c r="D34" s="3" t="s">
        <v>91</v>
      </c>
      <c r="E34" s="13"/>
    </row>
    <row r="35" customFormat="false" ht="15" hidden="false" customHeight="false" outlineLevel="0" collapsed="false">
      <c r="B35" s="2" t="s">
        <v>105</v>
      </c>
      <c r="C35" s="18" t="n">
        <v>0.4</v>
      </c>
      <c r="D35" s="3" t="s">
        <v>106</v>
      </c>
      <c r="E35" s="13"/>
    </row>
    <row r="36" customFormat="false" ht="15" hidden="false" customHeight="false" outlineLevel="0" collapsed="false">
      <c r="B36" s="2" t="s">
        <v>107</v>
      </c>
      <c r="C36" s="17" t="n">
        <v>1.2</v>
      </c>
      <c r="D36" s="3" t="s">
        <v>91</v>
      </c>
      <c r="E36" s="13"/>
    </row>
    <row r="37" customFormat="false" ht="15" hidden="false" customHeight="false" outlineLevel="0" collapsed="false">
      <c r="B37" s="2" t="s">
        <v>108</v>
      </c>
      <c r="C37" s="17" t="n">
        <v>1.5</v>
      </c>
      <c r="D37" s="3" t="s">
        <v>91</v>
      </c>
      <c r="E37" s="13"/>
    </row>
    <row r="38" customFormat="false" ht="15" hidden="false" customHeight="false" outlineLevel="0" collapsed="false">
      <c r="B38" s="2" t="s">
        <v>109</v>
      </c>
      <c r="C38" s="17" t="n">
        <v>0.5</v>
      </c>
      <c r="D38" s="3" t="s">
        <v>91</v>
      </c>
      <c r="E38" s="13"/>
    </row>
    <row r="39" customFormat="false" ht="15" hidden="false" customHeight="false" outlineLevel="0" collapsed="false">
      <c r="B39" s="10" t="s">
        <v>110</v>
      </c>
      <c r="C39" s="11"/>
      <c r="D39" s="11"/>
      <c r="E39" s="11"/>
    </row>
    <row r="40" customFormat="false" ht="15" hidden="false" customHeight="false" outlineLevel="0" collapsed="false">
      <c r="B40" s="2" t="s">
        <v>111</v>
      </c>
      <c r="C40" s="14" t="n">
        <v>350</v>
      </c>
      <c r="D40" s="3" t="s">
        <v>112</v>
      </c>
      <c r="E40" s="13" t="s">
        <v>113</v>
      </c>
    </row>
    <row r="41" customFormat="false" ht="15" hidden="false" customHeight="false" outlineLevel="0" collapsed="false">
      <c r="B41" s="2" t="s">
        <v>114</v>
      </c>
      <c r="C41" s="14" t="n">
        <v>140</v>
      </c>
      <c r="D41" s="3" t="s">
        <v>115</v>
      </c>
      <c r="E41" s="13" t="s">
        <v>116</v>
      </c>
    </row>
    <row r="42" customFormat="false" ht="15" hidden="false" customHeight="false" outlineLevel="0" collapsed="false">
      <c r="B42" s="2" t="s">
        <v>117</v>
      </c>
      <c r="C42" s="14" t="n">
        <v>100</v>
      </c>
      <c r="D42" s="3" t="s">
        <v>115</v>
      </c>
      <c r="E42" s="13"/>
    </row>
    <row r="43" customFormat="false" ht="15" hidden="false" customHeight="false" outlineLevel="0" collapsed="false">
      <c r="B43" s="2" t="s">
        <v>118</v>
      </c>
      <c r="C43" s="14" t="n">
        <v>90</v>
      </c>
      <c r="D43" s="3" t="s">
        <v>115</v>
      </c>
      <c r="E43" s="13"/>
    </row>
    <row r="44" customFormat="false" ht="15" hidden="false" customHeight="false" outlineLevel="0" collapsed="false">
      <c r="B44" s="2" t="s">
        <v>119</v>
      </c>
      <c r="C44" s="14" t="n">
        <v>80</v>
      </c>
      <c r="D44" s="3" t="s">
        <v>115</v>
      </c>
      <c r="E44" s="13"/>
    </row>
    <row r="45" customFormat="false" ht="15" hidden="false" customHeight="false" outlineLevel="0" collapsed="false">
      <c r="B45" s="2" t="s">
        <v>120</v>
      </c>
      <c r="C45" s="14" t="n">
        <v>75</v>
      </c>
      <c r="D45" s="3" t="s">
        <v>115</v>
      </c>
      <c r="E45" s="13"/>
    </row>
    <row r="46" customFormat="false" ht="15" hidden="false" customHeight="false" outlineLevel="0" collapsed="false">
      <c r="B46" s="2" t="s">
        <v>121</v>
      </c>
      <c r="C46" s="14" t="n">
        <v>2200</v>
      </c>
      <c r="D46" s="3" t="s">
        <v>112</v>
      </c>
      <c r="E46" s="13" t="s">
        <v>122</v>
      </c>
    </row>
    <row r="47" customFormat="false" ht="15" hidden="false" customHeight="false" outlineLevel="0" collapsed="false">
      <c r="B47" s="2" t="s">
        <v>123</v>
      </c>
      <c r="C47" s="18" t="n">
        <v>0.055</v>
      </c>
      <c r="D47" s="3"/>
      <c r="E47" s="13" t="s">
        <v>124</v>
      </c>
    </row>
    <row r="48" customFormat="false" ht="15" hidden="false" customHeight="false" outlineLevel="0" collapsed="false">
      <c r="B48" s="10" t="s">
        <v>125</v>
      </c>
      <c r="C48" s="11"/>
      <c r="D48" s="11"/>
      <c r="E48" s="11"/>
    </row>
    <row r="49" customFormat="false" ht="15" hidden="false" customHeight="false" outlineLevel="0" collapsed="false">
      <c r="B49" s="8" t="s">
        <v>126</v>
      </c>
      <c r="C49" s="8" t="s">
        <v>127</v>
      </c>
      <c r="D49" s="8" t="s">
        <v>128</v>
      </c>
      <c r="E49" s="8" t="s">
        <v>129</v>
      </c>
    </row>
    <row r="50" customFormat="false" ht="15" hidden="false" customHeight="false" outlineLevel="0" collapsed="false">
      <c r="B50" s="2" t="s">
        <v>130</v>
      </c>
      <c r="C50" s="21" t="n">
        <v>0.7</v>
      </c>
      <c r="D50" s="22" t="n">
        <v>0.028</v>
      </c>
      <c r="E50" s="21" t="n">
        <v>0.95</v>
      </c>
    </row>
    <row r="51" customFormat="false" ht="15" hidden="false" customHeight="false" outlineLevel="0" collapsed="false">
      <c r="B51" s="2" t="s">
        <v>131</v>
      </c>
      <c r="C51" s="21" t="n">
        <v>1</v>
      </c>
      <c r="D51" s="22" t="n">
        <v>0.022</v>
      </c>
      <c r="E51" s="21" t="n">
        <v>1</v>
      </c>
    </row>
    <row r="52" customFormat="false" ht="15" hidden="false" customHeight="false" outlineLevel="0" collapsed="false">
      <c r="B52" s="2" t="s">
        <v>132</v>
      </c>
      <c r="C52" s="21" t="n">
        <v>1.2</v>
      </c>
      <c r="D52" s="22" t="n">
        <v>0.018</v>
      </c>
      <c r="E52" s="21" t="n">
        <v>1.03</v>
      </c>
    </row>
    <row r="53" customFormat="false" ht="15" hidden="false" customHeight="false" outlineLevel="0" collapsed="false">
      <c r="B53" s="2" t="s">
        <v>133</v>
      </c>
      <c r="C53" s="23" t="n">
        <f aca="false">INDEX(Sz_Neu,Szenario)</f>
        <v>1</v>
      </c>
      <c r="D53" s="3"/>
      <c r="E53" s="13" t="s">
        <v>134</v>
      </c>
    </row>
    <row r="54" customFormat="false" ht="15" hidden="false" customHeight="false" outlineLevel="0" collapsed="false">
      <c r="B54" s="2" t="s">
        <v>135</v>
      </c>
      <c r="C54" s="24" t="n">
        <f aca="false">INDEX(Sz_Churn,Szenario)</f>
        <v>0.022</v>
      </c>
      <c r="D54" s="3"/>
      <c r="E54" s="13" t="s">
        <v>136</v>
      </c>
    </row>
    <row r="55" customFormat="false" ht="15" hidden="false" customHeight="false" outlineLevel="0" collapsed="false">
      <c r="B55" s="2" t="s">
        <v>137</v>
      </c>
      <c r="C55" s="23" t="n">
        <f aca="false">INDEX(Sz_Beitrag,Szenario)</f>
        <v>1</v>
      </c>
      <c r="D55" s="3"/>
      <c r="E55" s="13" t="s">
        <v>134</v>
      </c>
    </row>
    <row r="56" customFormat="false" ht="15" hidden="false" customHeight="false" outlineLevel="0" collapsed="false">
      <c r="B56" s="10" t="s">
        <v>138</v>
      </c>
      <c r="C56" s="11"/>
      <c r="D56" s="11"/>
      <c r="E56" s="11"/>
    </row>
    <row r="57" customFormat="false" ht="15" hidden="false" customHeight="false" outlineLevel="0" collapsed="false">
      <c r="B57" s="2" t="s">
        <v>139</v>
      </c>
      <c r="C57" s="18" t="n">
        <v>0.213</v>
      </c>
      <c r="D57" s="3"/>
      <c r="E57" s="13" t="s">
        <v>140</v>
      </c>
    </row>
    <row r="58" customFormat="false" ht="15" hidden="false" customHeight="false" outlineLevel="0" collapsed="false">
      <c r="B58" s="2" t="s">
        <v>141</v>
      </c>
      <c r="C58" s="18" t="n">
        <v>0.3117</v>
      </c>
      <c r="D58" s="3"/>
      <c r="E58" s="13"/>
    </row>
    <row r="59" customFormat="false" ht="15" hidden="false" customHeight="false" outlineLevel="0" collapsed="false">
      <c r="B59" s="2" t="s">
        <v>142</v>
      </c>
      <c r="C59" s="18" t="n">
        <v>0.025</v>
      </c>
      <c r="D59" s="3" t="s">
        <v>77</v>
      </c>
      <c r="E59" s="13" t="s">
        <v>143</v>
      </c>
    </row>
    <row r="60" customFormat="false" ht="15" hidden="false" customHeight="false" outlineLevel="0" collapsed="false">
      <c r="B60" s="8" t="s">
        <v>144</v>
      </c>
      <c r="C60" s="8" t="s">
        <v>145</v>
      </c>
      <c r="D60" s="8" t="s">
        <v>146</v>
      </c>
      <c r="E60" s="8" t="s">
        <v>147</v>
      </c>
      <c r="F60" s="8" t="s">
        <v>148</v>
      </c>
      <c r="G60" s="8" t="s">
        <v>149</v>
      </c>
    </row>
    <row r="61" customFormat="false" ht="15" hidden="false" customHeight="false" outlineLevel="0" collapsed="false">
      <c r="B61" s="2" t="s">
        <v>150</v>
      </c>
      <c r="C61" s="14" t="n">
        <v>1</v>
      </c>
      <c r="D61" s="14" t="n">
        <v>3500</v>
      </c>
      <c r="E61" s="3" t="s">
        <v>151</v>
      </c>
      <c r="F61" s="19" t="n">
        <v>0</v>
      </c>
      <c r="G61" s="19" t="n">
        <v>-3</v>
      </c>
    </row>
    <row r="62" customFormat="false" ht="15" hidden="false" customHeight="false" outlineLevel="0" collapsed="false">
      <c r="B62" s="2" t="s">
        <v>152</v>
      </c>
      <c r="C62" s="14" t="n">
        <v>1</v>
      </c>
      <c r="D62" s="14" t="n">
        <v>3600</v>
      </c>
      <c r="E62" s="3" t="s">
        <v>151</v>
      </c>
      <c r="F62" s="19" t="n">
        <v>0</v>
      </c>
      <c r="G62" s="19" t="n">
        <v>-2</v>
      </c>
    </row>
    <row r="63" customFormat="false" ht="15" hidden="false" customHeight="false" outlineLevel="0" collapsed="false">
      <c r="B63" s="2" t="s">
        <v>153</v>
      </c>
      <c r="C63" s="14" t="n">
        <v>2</v>
      </c>
      <c r="D63" s="14" t="n">
        <v>3000</v>
      </c>
      <c r="E63" s="3" t="s">
        <v>151</v>
      </c>
      <c r="F63" s="19" t="n">
        <v>0</v>
      </c>
      <c r="G63" s="19" t="n">
        <v>-1</v>
      </c>
    </row>
    <row r="64" customFormat="false" ht="15" hidden="false" customHeight="false" outlineLevel="0" collapsed="false">
      <c r="B64" s="2" t="s">
        <v>154</v>
      </c>
      <c r="C64" s="14" t="n">
        <v>1</v>
      </c>
      <c r="D64" s="14" t="n">
        <v>3000</v>
      </c>
      <c r="E64" s="3" t="s">
        <v>151</v>
      </c>
      <c r="F64" s="19" t="n">
        <v>0</v>
      </c>
      <c r="G64" s="19" t="n">
        <v>13</v>
      </c>
    </row>
    <row r="65" customFormat="false" ht="15" hidden="false" customHeight="false" outlineLevel="0" collapsed="false">
      <c r="B65" s="2" t="s">
        <v>155</v>
      </c>
      <c r="C65" s="14" t="n">
        <v>2</v>
      </c>
      <c r="D65" s="14" t="n">
        <v>1650</v>
      </c>
      <c r="E65" s="3" t="s">
        <v>151</v>
      </c>
      <c r="F65" s="19" t="n">
        <v>0</v>
      </c>
      <c r="G65" s="19" t="n">
        <v>1</v>
      </c>
    </row>
    <row r="66" customFormat="false" ht="15" hidden="false" customHeight="false" outlineLevel="0" collapsed="false">
      <c r="B66" s="2" t="s">
        <v>156</v>
      </c>
      <c r="C66" s="14" t="n">
        <v>2</v>
      </c>
      <c r="D66" s="14" t="n">
        <v>1550</v>
      </c>
      <c r="E66" s="3" t="s">
        <v>151</v>
      </c>
      <c r="F66" s="19" t="n">
        <v>0</v>
      </c>
      <c r="G66" s="19" t="n">
        <v>1</v>
      </c>
    </row>
    <row r="67" customFormat="false" ht="15" hidden="false" customHeight="false" outlineLevel="0" collapsed="false">
      <c r="B67" s="2" t="s">
        <v>157</v>
      </c>
      <c r="C67" s="14" t="n">
        <v>4</v>
      </c>
      <c r="D67" s="14" t="n">
        <v>620</v>
      </c>
      <c r="E67" s="3" t="s">
        <v>148</v>
      </c>
      <c r="F67" s="19" t="n">
        <v>1</v>
      </c>
      <c r="G67" s="19" t="n">
        <v>1</v>
      </c>
    </row>
    <row r="68" customFormat="false" ht="15" hidden="false" customHeight="false" outlineLevel="0" collapsed="false">
      <c r="B68" s="2" t="s">
        <v>158</v>
      </c>
      <c r="C68" s="14" t="n">
        <v>2</v>
      </c>
      <c r="D68" s="14" t="n">
        <v>620</v>
      </c>
      <c r="E68" s="3" t="s">
        <v>148</v>
      </c>
      <c r="F68" s="19" t="n">
        <v>1</v>
      </c>
      <c r="G68" s="19" t="n">
        <v>1</v>
      </c>
    </row>
    <row r="69" customFormat="false" ht="15" hidden="false" customHeight="false" outlineLevel="0" collapsed="false">
      <c r="B69" s="2" t="s">
        <v>159</v>
      </c>
      <c r="C69" s="25" t="n">
        <f aca="false">SUMPRODUCT(Pers_Anzahl*Pers_Brutto*(1+Pers_Mini*Mini_Abg+(1-Pers_Mini)*AG_Anteil))</f>
        <v>32172.024</v>
      </c>
      <c r="D69" s="3" t="s">
        <v>83</v>
      </c>
      <c r="E69" s="13" t="s">
        <v>102</v>
      </c>
    </row>
    <row r="70" customFormat="false" ht="15" hidden="false" customHeight="false" outlineLevel="0" collapsed="false">
      <c r="B70" s="2" t="s">
        <v>160</v>
      </c>
      <c r="C70" s="26" t="n">
        <f aca="false">SUMPRODUCT(Pers_Anzahl*(1-Pers_Mini)*((Pers_Brutto&gt;=2000)+(Pers_Brutto&lt;2000)*0.5))</f>
        <v>7</v>
      </c>
      <c r="D70" s="3" t="s">
        <v>161</v>
      </c>
      <c r="E70" s="13" t="s">
        <v>162</v>
      </c>
    </row>
    <row r="71" customFormat="false" ht="15" hidden="false" customHeight="false" outlineLevel="0" collapsed="false">
      <c r="B71" s="10" t="s">
        <v>163</v>
      </c>
      <c r="C71" s="11"/>
      <c r="D71" s="11"/>
      <c r="E71" s="11"/>
    </row>
    <row r="72" customFormat="false" ht="15" hidden="false" customHeight="false" outlineLevel="0" collapsed="false">
      <c r="B72" s="2" t="s">
        <v>164</v>
      </c>
      <c r="C72" s="14" t="n">
        <v>3500</v>
      </c>
      <c r="D72" s="3" t="s">
        <v>83</v>
      </c>
      <c r="E72" s="13"/>
    </row>
    <row r="73" customFormat="false" ht="15" hidden="false" customHeight="false" outlineLevel="0" collapsed="false">
      <c r="B73" s="2" t="s">
        <v>165</v>
      </c>
      <c r="C73" s="18" t="n">
        <v>0</v>
      </c>
      <c r="D73" s="3"/>
      <c r="E73" s="13"/>
    </row>
    <row r="74" customFormat="false" ht="15" hidden="false" customHeight="false" outlineLevel="0" collapsed="false">
      <c r="B74" s="2" t="s">
        <v>166</v>
      </c>
      <c r="C74" s="14" t="n">
        <v>6000</v>
      </c>
      <c r="D74" s="3" t="s">
        <v>83</v>
      </c>
      <c r="E74" s="13"/>
    </row>
    <row r="75" customFormat="false" ht="15" hidden="false" customHeight="false" outlineLevel="0" collapsed="false">
      <c r="B75" s="2" t="s">
        <v>167</v>
      </c>
      <c r="C75" s="14" t="n">
        <v>35000</v>
      </c>
      <c r="D75" s="3" t="s">
        <v>91</v>
      </c>
      <c r="E75" s="13" t="s">
        <v>168</v>
      </c>
    </row>
    <row r="76" customFormat="false" ht="15" hidden="false" customHeight="false" outlineLevel="0" collapsed="false">
      <c r="B76" s="2" t="s">
        <v>169</v>
      </c>
      <c r="C76" s="14" t="n">
        <v>3</v>
      </c>
      <c r="D76" s="3" t="s">
        <v>58</v>
      </c>
      <c r="E76" s="13"/>
    </row>
    <row r="77" customFormat="false" ht="15" hidden="false" customHeight="false" outlineLevel="0" collapsed="false">
      <c r="B77" s="2" t="s">
        <v>170</v>
      </c>
      <c r="C77" s="14" t="n">
        <v>900</v>
      </c>
      <c r="D77" s="3" t="s">
        <v>83</v>
      </c>
      <c r="E77" s="13" t="s">
        <v>171</v>
      </c>
    </row>
    <row r="78" customFormat="false" ht="15" hidden="false" customHeight="false" outlineLevel="0" collapsed="false">
      <c r="B78" s="2" t="s">
        <v>172</v>
      </c>
      <c r="C78" s="14" t="n">
        <v>350</v>
      </c>
      <c r="D78" s="3" t="s">
        <v>83</v>
      </c>
      <c r="E78" s="13"/>
    </row>
    <row r="79" customFormat="false" ht="15" hidden="false" customHeight="false" outlineLevel="0" collapsed="false">
      <c r="B79" s="2" t="s">
        <v>173</v>
      </c>
      <c r="C79" s="14" t="n">
        <v>450</v>
      </c>
      <c r="D79" s="3" t="s">
        <v>83</v>
      </c>
      <c r="E79" s="13"/>
    </row>
    <row r="80" customFormat="false" ht="15" hidden="false" customHeight="false" outlineLevel="0" collapsed="false">
      <c r="B80" s="2" t="s">
        <v>174</v>
      </c>
      <c r="C80" s="22" t="n">
        <v>0.008</v>
      </c>
      <c r="D80" s="3"/>
      <c r="E80" s="13"/>
    </row>
    <row r="81" customFormat="false" ht="15" hidden="false" customHeight="false" outlineLevel="0" collapsed="false">
      <c r="B81" s="2" t="s">
        <v>175</v>
      </c>
      <c r="C81" s="14" t="n">
        <v>1000</v>
      </c>
      <c r="D81" s="3" t="s">
        <v>83</v>
      </c>
      <c r="E81" s="13" t="s">
        <v>176</v>
      </c>
    </row>
    <row r="82" customFormat="false" ht="15" hidden="false" customHeight="false" outlineLevel="0" collapsed="false">
      <c r="B82" s="2" t="s">
        <v>177</v>
      </c>
      <c r="C82" s="14" t="n">
        <v>2200</v>
      </c>
      <c r="D82" s="3" t="s">
        <v>83</v>
      </c>
      <c r="E82" s="13" t="s">
        <v>178</v>
      </c>
    </row>
    <row r="83" customFormat="false" ht="15" hidden="false" customHeight="false" outlineLevel="0" collapsed="false">
      <c r="B83" s="2" t="s">
        <v>179</v>
      </c>
      <c r="C83" s="14" t="n">
        <v>250</v>
      </c>
      <c r="D83" s="3" t="s">
        <v>83</v>
      </c>
      <c r="E83" s="13"/>
    </row>
    <row r="84" customFormat="false" ht="15" hidden="false" customHeight="false" outlineLevel="0" collapsed="false">
      <c r="B84" s="2" t="s">
        <v>180</v>
      </c>
      <c r="C84" s="18" t="n">
        <v>0.05</v>
      </c>
      <c r="D84" s="3" t="s">
        <v>77</v>
      </c>
      <c r="E84" s="13" t="s">
        <v>181</v>
      </c>
    </row>
    <row r="85" customFormat="false" ht="15" hidden="false" customHeight="false" outlineLevel="0" collapsed="false">
      <c r="B85" s="2" t="s">
        <v>182</v>
      </c>
      <c r="C85" s="17" t="n">
        <v>4</v>
      </c>
      <c r="D85" s="3" t="s">
        <v>183</v>
      </c>
      <c r="E85" s="13" t="s">
        <v>184</v>
      </c>
    </row>
    <row r="86" customFormat="false" ht="15" hidden="false" customHeight="false" outlineLevel="0" collapsed="false">
      <c r="B86" s="2" t="s">
        <v>185</v>
      </c>
      <c r="C86" s="14" t="n">
        <v>1500</v>
      </c>
      <c r="D86" s="3" t="s">
        <v>83</v>
      </c>
      <c r="E86" s="13"/>
    </row>
    <row r="87" customFormat="false" ht="15" hidden="false" customHeight="false" outlineLevel="0" collapsed="false">
      <c r="B87" s="2" t="s">
        <v>186</v>
      </c>
      <c r="C87" s="14" t="n">
        <v>2500</v>
      </c>
      <c r="D87" s="3" t="s">
        <v>91</v>
      </c>
      <c r="E87" s="13" t="s">
        <v>187</v>
      </c>
    </row>
    <row r="88" customFormat="false" ht="15" hidden="false" customHeight="false" outlineLevel="0" collapsed="false">
      <c r="B88" s="2" t="s">
        <v>188</v>
      </c>
      <c r="C88" s="14" t="n">
        <v>5000</v>
      </c>
      <c r="D88" s="3" t="s">
        <v>91</v>
      </c>
      <c r="E88" s="13" t="s">
        <v>187</v>
      </c>
    </row>
    <row r="89" customFormat="false" ht="15" hidden="false" customHeight="false" outlineLevel="0" collapsed="false">
      <c r="B89" s="10" t="s">
        <v>189</v>
      </c>
      <c r="C89" s="11"/>
      <c r="D89" s="11"/>
      <c r="E89" s="11"/>
    </row>
    <row r="90" customFormat="false" ht="15" hidden="false" customHeight="false" outlineLevel="0" collapsed="false">
      <c r="B90" s="2" t="s">
        <v>190</v>
      </c>
      <c r="C90" s="18" t="n">
        <v>0.1</v>
      </c>
      <c r="D90" s="3"/>
      <c r="E90" s="13" t="s">
        <v>191</v>
      </c>
    </row>
    <row r="91" customFormat="false" ht="15" hidden="false" customHeight="false" outlineLevel="0" collapsed="false">
      <c r="B91" s="2" t="s">
        <v>192</v>
      </c>
      <c r="C91" s="14" t="n">
        <v>8</v>
      </c>
      <c r="D91" s="3" t="s">
        <v>193</v>
      </c>
      <c r="E91" s="13" t="s">
        <v>194</v>
      </c>
    </row>
    <row r="92" customFormat="false" ht="15" hidden="false" customHeight="false" outlineLevel="0" collapsed="false">
      <c r="B92" s="2" t="s">
        <v>195</v>
      </c>
      <c r="C92" s="14" t="n">
        <v>10</v>
      </c>
      <c r="D92" s="3" t="s">
        <v>193</v>
      </c>
      <c r="E92" s="13" t="s">
        <v>196</v>
      </c>
    </row>
    <row r="93" customFormat="false" ht="15" hidden="false" customHeight="false" outlineLevel="0" collapsed="false">
      <c r="B93" s="2" t="s">
        <v>197</v>
      </c>
      <c r="C93" s="14" t="n">
        <v>5</v>
      </c>
      <c r="D93" s="3" t="s">
        <v>193</v>
      </c>
      <c r="E93" s="13"/>
    </row>
    <row r="94" customFormat="false" ht="15" hidden="false" customHeight="false" outlineLevel="0" collapsed="false">
      <c r="B94" s="10" t="s">
        <v>17</v>
      </c>
      <c r="C94" s="11"/>
      <c r="D94" s="11"/>
      <c r="E94" s="11"/>
    </row>
    <row r="95" customFormat="false" ht="15" hidden="false" customHeight="false" outlineLevel="0" collapsed="false">
      <c r="B95" s="2" t="s">
        <v>198</v>
      </c>
      <c r="C95" s="27" t="n">
        <v>150000</v>
      </c>
      <c r="D95" s="3" t="s">
        <v>91</v>
      </c>
      <c r="E95" s="13" t="s">
        <v>199</v>
      </c>
    </row>
    <row r="96" customFormat="false" ht="68.65" hidden="false" customHeight="false" outlineLevel="0" collapsed="false">
      <c r="B96" s="2" t="s">
        <v>200</v>
      </c>
      <c r="C96" s="28" t="s">
        <v>201</v>
      </c>
      <c r="D96" s="3"/>
      <c r="E96" s="13"/>
    </row>
    <row r="97" customFormat="false" ht="15" hidden="false" customHeight="false" outlineLevel="0" collapsed="false">
      <c r="B97" s="2" t="s">
        <v>202</v>
      </c>
      <c r="C97" s="27" t="n">
        <v>250000</v>
      </c>
      <c r="D97" s="3" t="s">
        <v>91</v>
      </c>
      <c r="E97" s="13"/>
    </row>
    <row r="98" customFormat="false" ht="15" hidden="false" customHeight="false" outlineLevel="0" collapsed="false">
      <c r="B98" s="2" t="s">
        <v>203</v>
      </c>
      <c r="C98" s="19" t="n">
        <v>1</v>
      </c>
      <c r="D98" s="3"/>
      <c r="E98" s="13" t="s">
        <v>204</v>
      </c>
    </row>
    <row r="99" customFormat="false" ht="15" hidden="false" customHeight="false" outlineLevel="0" collapsed="false">
      <c r="B99" s="2" t="s">
        <v>205</v>
      </c>
      <c r="C99" s="22" t="n">
        <v>0.07</v>
      </c>
      <c r="D99" s="3" t="s">
        <v>77</v>
      </c>
      <c r="E99" s="13" t="s">
        <v>206</v>
      </c>
    </row>
    <row r="100" customFormat="false" ht="15" hidden="false" customHeight="false" outlineLevel="0" collapsed="false">
      <c r="B100" s="2" t="s">
        <v>207</v>
      </c>
      <c r="C100" s="14" t="n">
        <v>10</v>
      </c>
      <c r="D100" s="3" t="s">
        <v>193</v>
      </c>
      <c r="E100" s="13"/>
    </row>
    <row r="101" customFormat="false" ht="15" hidden="false" customHeight="false" outlineLevel="0" collapsed="false">
      <c r="B101" s="2" t="s">
        <v>208</v>
      </c>
      <c r="C101" s="14" t="n">
        <v>10</v>
      </c>
      <c r="D101" s="3" t="s">
        <v>193</v>
      </c>
      <c r="E101" s="13" t="s">
        <v>209</v>
      </c>
    </row>
    <row r="102" customFormat="false" ht="15" hidden="false" customHeight="false" outlineLevel="0" collapsed="false">
      <c r="B102" s="2" t="s">
        <v>210</v>
      </c>
      <c r="C102" s="19" t="n">
        <v>-5</v>
      </c>
      <c r="D102" s="3" t="s">
        <v>211</v>
      </c>
      <c r="E102" s="13" t="s">
        <v>212</v>
      </c>
    </row>
    <row r="103" customFormat="false" ht="15" hidden="false" customHeight="false" outlineLevel="0" collapsed="false">
      <c r="B103" s="2" t="s">
        <v>213</v>
      </c>
      <c r="C103" s="18" t="n">
        <v>0</v>
      </c>
      <c r="D103" s="3"/>
      <c r="E103" s="13" t="s">
        <v>214</v>
      </c>
    </row>
    <row r="104" customFormat="false" ht="57.45" hidden="false" customHeight="false" outlineLevel="0" collapsed="false">
      <c r="B104" s="2" t="s">
        <v>215</v>
      </c>
      <c r="C104" s="28" t="s">
        <v>216</v>
      </c>
      <c r="D104" s="3"/>
      <c r="E104" s="13"/>
    </row>
    <row r="105" customFormat="false" ht="15" hidden="false" customHeight="false" outlineLevel="0" collapsed="false">
      <c r="B105" s="2" t="s">
        <v>217</v>
      </c>
      <c r="C105" s="27" t="n">
        <v>500000</v>
      </c>
      <c r="D105" s="3" t="s">
        <v>91</v>
      </c>
      <c r="E105" s="13"/>
    </row>
    <row r="106" customFormat="false" ht="15" hidden="false" customHeight="false" outlineLevel="0" collapsed="false">
      <c r="B106" s="2" t="s">
        <v>218</v>
      </c>
      <c r="C106" s="19" t="n">
        <v>0</v>
      </c>
      <c r="D106" s="3"/>
      <c r="E106" s="13" t="s">
        <v>204</v>
      </c>
    </row>
    <row r="107" customFormat="false" ht="15" hidden="false" customHeight="false" outlineLevel="0" collapsed="false">
      <c r="B107" s="2" t="s">
        <v>219</v>
      </c>
      <c r="C107" s="22" t="n">
        <v>0.065</v>
      </c>
      <c r="D107" s="3" t="s">
        <v>77</v>
      </c>
      <c r="E107" s="13" t="s">
        <v>206</v>
      </c>
    </row>
    <row r="108" customFormat="false" ht="15" hidden="false" customHeight="false" outlineLevel="0" collapsed="false">
      <c r="B108" s="2" t="s">
        <v>220</v>
      </c>
      <c r="C108" s="14" t="n">
        <v>15</v>
      </c>
      <c r="D108" s="3" t="s">
        <v>193</v>
      </c>
      <c r="E108" s="13"/>
    </row>
    <row r="109" customFormat="false" ht="15" hidden="false" customHeight="false" outlineLevel="0" collapsed="false">
      <c r="B109" s="2" t="s">
        <v>221</v>
      </c>
      <c r="C109" s="14" t="n">
        <v>5</v>
      </c>
      <c r="D109" s="3" t="s">
        <v>193</v>
      </c>
      <c r="E109" s="13" t="s">
        <v>209</v>
      </c>
    </row>
    <row r="110" customFormat="false" ht="15" hidden="false" customHeight="false" outlineLevel="0" collapsed="false">
      <c r="B110" s="2" t="s">
        <v>222</v>
      </c>
      <c r="C110" s="19" t="n">
        <v>-4</v>
      </c>
      <c r="D110" s="3" t="s">
        <v>211</v>
      </c>
      <c r="E110" s="13" t="s">
        <v>212</v>
      </c>
    </row>
    <row r="111" customFormat="false" ht="15" hidden="false" customHeight="false" outlineLevel="0" collapsed="false">
      <c r="B111" s="2" t="s">
        <v>223</v>
      </c>
      <c r="C111" s="18" t="n">
        <v>1</v>
      </c>
      <c r="D111" s="3"/>
      <c r="E111" s="13" t="s">
        <v>214</v>
      </c>
    </row>
    <row r="112" customFormat="false" ht="35.05" hidden="false" customHeight="false" outlineLevel="0" collapsed="false">
      <c r="B112" s="2" t="s">
        <v>224</v>
      </c>
      <c r="C112" s="28" t="s">
        <v>225</v>
      </c>
      <c r="D112" s="3"/>
      <c r="E112" s="13"/>
    </row>
    <row r="113" customFormat="false" ht="15" hidden="false" customHeight="false" outlineLevel="0" collapsed="false">
      <c r="B113" s="2" t="s">
        <v>226</v>
      </c>
      <c r="C113" s="27" t="n">
        <v>200000</v>
      </c>
      <c r="D113" s="3" t="s">
        <v>91</v>
      </c>
      <c r="E113" s="13"/>
    </row>
    <row r="114" customFormat="false" ht="15" hidden="false" customHeight="false" outlineLevel="0" collapsed="false">
      <c r="B114" s="2" t="s">
        <v>227</v>
      </c>
      <c r="C114" s="19" t="n">
        <v>0</v>
      </c>
      <c r="D114" s="3"/>
      <c r="E114" s="13" t="s">
        <v>204</v>
      </c>
    </row>
    <row r="115" customFormat="false" ht="15" hidden="false" customHeight="false" outlineLevel="0" collapsed="false">
      <c r="B115" s="2" t="s">
        <v>228</v>
      </c>
      <c r="C115" s="22" t="n">
        <v>0.0575</v>
      </c>
      <c r="D115" s="3" t="s">
        <v>77</v>
      </c>
      <c r="E115" s="13" t="s">
        <v>206</v>
      </c>
    </row>
    <row r="116" customFormat="false" ht="15" hidden="false" customHeight="false" outlineLevel="0" collapsed="false">
      <c r="B116" s="2" t="s">
        <v>229</v>
      </c>
      <c r="C116" s="14" t="n">
        <v>10</v>
      </c>
      <c r="D116" s="3" t="s">
        <v>193</v>
      </c>
      <c r="E116" s="13"/>
    </row>
    <row r="117" customFormat="false" ht="15" hidden="false" customHeight="false" outlineLevel="0" collapsed="false">
      <c r="B117" s="2" t="s">
        <v>230</v>
      </c>
      <c r="C117" s="14" t="n">
        <v>2</v>
      </c>
      <c r="D117" s="3" t="s">
        <v>193</v>
      </c>
      <c r="E117" s="13" t="s">
        <v>209</v>
      </c>
    </row>
    <row r="118" customFormat="false" ht="15" hidden="false" customHeight="false" outlineLevel="0" collapsed="false">
      <c r="B118" s="2" t="s">
        <v>231</v>
      </c>
      <c r="C118" s="19" t="n">
        <v>-4</v>
      </c>
      <c r="D118" s="3" t="s">
        <v>211</v>
      </c>
      <c r="E118" s="13" t="s">
        <v>212</v>
      </c>
    </row>
    <row r="119" customFormat="false" ht="15" hidden="false" customHeight="false" outlineLevel="0" collapsed="false">
      <c r="B119" s="2" t="s">
        <v>232</v>
      </c>
      <c r="C119" s="18" t="n">
        <v>0.8</v>
      </c>
      <c r="D119" s="3"/>
      <c r="E119" s="13" t="s">
        <v>214</v>
      </c>
    </row>
    <row r="120" customFormat="false" ht="79.85" hidden="false" customHeight="false" outlineLevel="0" collapsed="false">
      <c r="B120" s="2" t="s">
        <v>233</v>
      </c>
      <c r="C120" s="28" t="s">
        <v>234</v>
      </c>
      <c r="D120" s="3"/>
      <c r="E120" s="13"/>
    </row>
    <row r="121" customFormat="false" ht="15" hidden="false" customHeight="false" outlineLevel="0" collapsed="false">
      <c r="B121" s="2" t="s">
        <v>235</v>
      </c>
      <c r="C121" s="25" t="n">
        <f aca="false">MAX(0,Kapitalbedarf-EK-Darl1_Betrag-Darl2_Betrag-Darl3_Betrag)</f>
        <v>1522583</v>
      </c>
      <c r="D121" s="3" t="s">
        <v>91</v>
      </c>
      <c r="E121" s="13" t="s">
        <v>236</v>
      </c>
    </row>
    <row r="122" customFormat="false" ht="15" hidden="false" customHeight="false" outlineLevel="0" collapsed="false">
      <c r="B122" s="2" t="s">
        <v>237</v>
      </c>
      <c r="C122" s="19" t="n">
        <v>0</v>
      </c>
      <c r="D122" s="3"/>
      <c r="E122" s="13" t="s">
        <v>204</v>
      </c>
    </row>
    <row r="123" customFormat="false" ht="15" hidden="false" customHeight="false" outlineLevel="0" collapsed="false">
      <c r="B123" s="2" t="s">
        <v>238</v>
      </c>
      <c r="C123" s="22" t="n">
        <v>0.064</v>
      </c>
      <c r="D123" s="3" t="s">
        <v>77</v>
      </c>
      <c r="E123" s="13" t="s">
        <v>206</v>
      </c>
    </row>
    <row r="124" customFormat="false" ht="15" hidden="false" customHeight="false" outlineLevel="0" collapsed="false">
      <c r="B124" s="2" t="s">
        <v>239</v>
      </c>
      <c r="C124" s="14" t="n">
        <v>20</v>
      </c>
      <c r="D124" s="3" t="s">
        <v>193</v>
      </c>
      <c r="E124" s="13"/>
    </row>
    <row r="125" customFormat="false" ht="15" hidden="false" customHeight="false" outlineLevel="0" collapsed="false">
      <c r="B125" s="2" t="s">
        <v>240</v>
      </c>
      <c r="C125" s="14" t="n">
        <v>3</v>
      </c>
      <c r="D125" s="3" t="s">
        <v>193</v>
      </c>
      <c r="E125" s="13" t="s">
        <v>209</v>
      </c>
    </row>
    <row r="126" customFormat="false" ht="15" hidden="false" customHeight="false" outlineLevel="0" collapsed="false">
      <c r="B126" s="2" t="s">
        <v>241</v>
      </c>
      <c r="C126" s="19" t="n">
        <v>-3</v>
      </c>
      <c r="D126" s="3" t="s">
        <v>211</v>
      </c>
      <c r="E126" s="13" t="s">
        <v>212</v>
      </c>
    </row>
    <row r="127" customFormat="false" ht="15" hidden="false" customHeight="false" outlineLevel="0" collapsed="false">
      <c r="B127" s="2" t="s">
        <v>242</v>
      </c>
      <c r="C127" s="18" t="n">
        <v>0.8</v>
      </c>
      <c r="D127" s="3"/>
      <c r="E127" s="13" t="s">
        <v>214</v>
      </c>
    </row>
    <row r="128" customFormat="false" ht="15" hidden="false" customHeight="false" outlineLevel="0" collapsed="false">
      <c r="B128" s="2" t="s">
        <v>243</v>
      </c>
      <c r="C128" s="27" t="n">
        <v>710000</v>
      </c>
      <c r="D128" s="3" t="s">
        <v>91</v>
      </c>
      <c r="E128" s="13" t="s">
        <v>244</v>
      </c>
    </row>
    <row r="129" customFormat="false" ht="15" hidden="false" customHeight="false" outlineLevel="0" collapsed="false">
      <c r="B129" s="2" t="s">
        <v>245</v>
      </c>
      <c r="C129" s="18" t="n">
        <v>0.15</v>
      </c>
      <c r="D129" s="3"/>
      <c r="E129" s="13"/>
    </row>
    <row r="130" customFormat="false" ht="15" hidden="false" customHeight="false" outlineLevel="0" collapsed="false">
      <c r="B130" s="2" t="s">
        <v>246</v>
      </c>
      <c r="C130" s="14" t="n">
        <v>200000</v>
      </c>
      <c r="D130" s="3" t="s">
        <v>91</v>
      </c>
      <c r="E130" s="13" t="s">
        <v>247</v>
      </c>
    </row>
    <row r="131" customFormat="false" ht="15" hidden="false" customHeight="false" outlineLevel="0" collapsed="false">
      <c r="B131" s="10" t="s">
        <v>248</v>
      </c>
      <c r="C131" s="11"/>
      <c r="D131" s="11"/>
      <c r="E131" s="11"/>
    </row>
    <row r="132" customFormat="false" ht="15" hidden="false" customHeight="false" outlineLevel="0" collapsed="false">
      <c r="B132" s="2" t="s">
        <v>249</v>
      </c>
      <c r="C132" s="29" t="n">
        <v>3.9</v>
      </c>
      <c r="D132" s="3"/>
      <c r="E132" s="13" t="s">
        <v>250</v>
      </c>
    </row>
    <row r="133" customFormat="false" ht="15" hidden="false" customHeight="false" outlineLevel="0" collapsed="false">
      <c r="B133" s="2" t="s">
        <v>251</v>
      </c>
      <c r="C133" s="18" t="n">
        <v>0.035</v>
      </c>
      <c r="D133" s="3"/>
      <c r="E133" s="13"/>
    </row>
    <row r="134" customFormat="false" ht="15" hidden="false" customHeight="false" outlineLevel="0" collapsed="false">
      <c r="B134" s="2" t="s">
        <v>252</v>
      </c>
      <c r="C134" s="18" t="n">
        <v>0.15</v>
      </c>
      <c r="D134" s="3"/>
      <c r="E134" s="13"/>
    </row>
    <row r="135" customFormat="false" ht="15" hidden="false" customHeight="false" outlineLevel="0" collapsed="false">
      <c r="B135" s="2" t="s">
        <v>253</v>
      </c>
      <c r="C135" s="18" t="n">
        <v>0.055</v>
      </c>
      <c r="D135" s="3"/>
      <c r="E135" s="13"/>
    </row>
    <row r="136" customFormat="false" ht="15" hidden="false" customHeight="false" outlineLevel="0" collapsed="false">
      <c r="B136" s="2" t="s">
        <v>254</v>
      </c>
      <c r="C136" s="24" t="n">
        <f aca="false">Messzahl*Hebesatz+KSt*(1+Soli)</f>
        <v>0.29475</v>
      </c>
      <c r="D136" s="3"/>
      <c r="E136" s="13" t="s">
        <v>102</v>
      </c>
    </row>
    <row r="137" customFormat="false" ht="15" hidden="false" customHeight="false" outlineLevel="0" collapsed="false">
      <c r="B137" s="2" t="s">
        <v>255</v>
      </c>
      <c r="C137" s="19" t="n">
        <v>1</v>
      </c>
      <c r="D137" s="3" t="s">
        <v>58</v>
      </c>
      <c r="E137" s="13" t="s">
        <v>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T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58"/>
    <col collapsed="false" customWidth="true" hidden="false" outlineLevel="0" max="4" min="4" style="0" width="14"/>
    <col collapsed="false" customWidth="true" hidden="false" outlineLevel="0" max="7" min="5" style="0" width="9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46"/>
    <col collapsed="false" customWidth="true" hidden="false" outlineLevel="0" max="20" min="13" style="0" width="11"/>
  </cols>
  <sheetData>
    <row r="1" customFormat="false" ht="17.35" hidden="false" customHeight="false" outlineLevel="0" collapsed="false">
      <c r="B1" s="1" t="s">
        <v>257</v>
      </c>
    </row>
    <row r="2" customFormat="false" ht="15" hidden="false" customHeight="false" outlineLevel="0" collapsed="false">
      <c r="B2" s="3" t="s">
        <v>258</v>
      </c>
    </row>
    <row r="3" customFormat="false" ht="15" hidden="false" customHeight="false" outlineLevel="0" collapsed="false">
      <c r="L3" s="4" t="s">
        <v>259</v>
      </c>
    </row>
    <row r="4" customFormat="false" ht="15" hidden="false" customHeight="false" outlineLevel="0" collapsed="false">
      <c r="B4" s="30" t="s">
        <v>260</v>
      </c>
      <c r="C4" s="30" t="s">
        <v>261</v>
      </c>
      <c r="D4" s="30" t="s">
        <v>262</v>
      </c>
      <c r="E4" s="30" t="s">
        <v>263</v>
      </c>
      <c r="F4" s="30" t="s">
        <v>264</v>
      </c>
      <c r="G4" s="30" t="s">
        <v>265</v>
      </c>
      <c r="H4" s="30" t="s">
        <v>149</v>
      </c>
      <c r="I4" s="30" t="s">
        <v>58</v>
      </c>
      <c r="J4" s="30" t="s">
        <v>266</v>
      </c>
      <c r="L4" s="30" t="s">
        <v>211</v>
      </c>
      <c r="M4" s="31" t="n">
        <v>-5</v>
      </c>
      <c r="N4" s="31" t="n">
        <v>-4</v>
      </c>
      <c r="O4" s="31" t="n">
        <v>-3</v>
      </c>
      <c r="P4" s="31" t="n">
        <v>-2</v>
      </c>
      <c r="Q4" s="31" t="n">
        <v>-1</v>
      </c>
      <c r="R4" s="31" t="n">
        <v>1</v>
      </c>
      <c r="S4" s="31" t="n">
        <v>2</v>
      </c>
      <c r="T4" s="31" t="n">
        <v>3</v>
      </c>
    </row>
    <row r="5" customFormat="false" ht="15" hidden="false" customHeight="false" outlineLevel="0" collapsed="false">
      <c r="B5" s="2" t="s">
        <v>267</v>
      </c>
      <c r="C5" s="2" t="s">
        <v>268</v>
      </c>
      <c r="D5" s="14" t="n">
        <v>268570</v>
      </c>
      <c r="E5" s="32" t="n">
        <f aca="false">AfA_Geraete</f>
        <v>8</v>
      </c>
      <c r="F5" s="25" t="n">
        <f aca="false">IF(E5&gt;0,D5/E5,0)</f>
        <v>33571.25</v>
      </c>
      <c r="G5" s="19" t="n">
        <v>1</v>
      </c>
      <c r="H5" s="19" t="n">
        <v>-1</v>
      </c>
      <c r="I5" s="19" t="n">
        <v>1</v>
      </c>
      <c r="J5" s="3" t="s">
        <v>269</v>
      </c>
      <c r="M5" s="25" t="n">
        <f aca="false">IF(AND(M$4&gt;=$H5,M$4&lt;$H5+$I5),$D5/$I5,0)</f>
        <v>0</v>
      </c>
      <c r="N5" s="25" t="n">
        <f aca="false">IF(AND(N$4&gt;=$H5,N$4&lt;$H5+$I5),$D5/$I5,0)</f>
        <v>0</v>
      </c>
      <c r="O5" s="25" t="n">
        <f aca="false">IF(AND(O$4&gt;=$H5,O$4&lt;$H5+$I5),$D5/$I5,0)</f>
        <v>0</v>
      </c>
      <c r="P5" s="25" t="n">
        <f aca="false">IF(AND(P$4&gt;=$H5,P$4&lt;$H5+$I5),$D5/$I5,0)</f>
        <v>0</v>
      </c>
      <c r="Q5" s="25" t="n">
        <f aca="false">IF(AND(Q$4&gt;=$H5,Q$4&lt;$H5+$I5),$D5/$I5,0)</f>
        <v>268570</v>
      </c>
      <c r="R5" s="25" t="n">
        <f aca="false">IF(AND(R$4&gt;=$H5,R$4&lt;$H5+$I5),$D5/$I5,0)</f>
        <v>0</v>
      </c>
      <c r="S5" s="25" t="n">
        <f aca="false">IF(AND(S$4&gt;=$H5,S$4&lt;$H5+$I5),$D5/$I5,0)</f>
        <v>0</v>
      </c>
      <c r="T5" s="25" t="n">
        <f aca="false">IF(AND(T$4&gt;=$H5,T$4&lt;$H5+$I5),$D5/$I5,0)</f>
        <v>0</v>
      </c>
    </row>
    <row r="6" customFormat="false" ht="15" hidden="false" customHeight="false" outlineLevel="0" collapsed="false">
      <c r="B6" s="2" t="s">
        <v>267</v>
      </c>
      <c r="C6" s="2" t="s">
        <v>270</v>
      </c>
      <c r="D6" s="14" t="n">
        <v>4300</v>
      </c>
      <c r="E6" s="32" t="n">
        <f aca="false">AfA_Geraete</f>
        <v>8</v>
      </c>
      <c r="F6" s="25" t="n">
        <f aca="false">IF(E6&gt;0,D6/E6,0)</f>
        <v>537.5</v>
      </c>
      <c r="G6" s="19" t="n">
        <v>1</v>
      </c>
      <c r="H6" s="19" t="n">
        <v>-1</v>
      </c>
      <c r="I6" s="19" t="n">
        <v>1</v>
      </c>
      <c r="J6" s="3" t="s">
        <v>271</v>
      </c>
      <c r="M6" s="25" t="n">
        <f aca="false">IF(AND(M$4&gt;=$H6,M$4&lt;$H6+$I6),$D6/$I6,0)</f>
        <v>0</v>
      </c>
      <c r="N6" s="25" t="n">
        <f aca="false">IF(AND(N$4&gt;=$H6,N$4&lt;$H6+$I6),$D6/$I6,0)</f>
        <v>0</v>
      </c>
      <c r="O6" s="25" t="n">
        <f aca="false">IF(AND(O$4&gt;=$H6,O$4&lt;$H6+$I6),$D6/$I6,0)</f>
        <v>0</v>
      </c>
      <c r="P6" s="25" t="n">
        <f aca="false">IF(AND(P$4&gt;=$H6,P$4&lt;$H6+$I6),$D6/$I6,0)</f>
        <v>0</v>
      </c>
      <c r="Q6" s="25" t="n">
        <f aca="false">IF(AND(Q$4&gt;=$H6,Q$4&lt;$H6+$I6),$D6/$I6,0)</f>
        <v>4300</v>
      </c>
      <c r="R6" s="25" t="n">
        <f aca="false">IF(AND(R$4&gt;=$H6,R$4&lt;$H6+$I6),$D6/$I6,0)</f>
        <v>0</v>
      </c>
      <c r="S6" s="25" t="n">
        <f aca="false">IF(AND(S$4&gt;=$H6,S$4&lt;$H6+$I6),$D6/$I6,0)</f>
        <v>0</v>
      </c>
      <c r="T6" s="25" t="n">
        <f aca="false">IF(AND(T$4&gt;=$H6,T$4&lt;$H6+$I6),$D6/$I6,0)</f>
        <v>0</v>
      </c>
    </row>
    <row r="7" customFormat="false" ht="15" hidden="false" customHeight="false" outlineLevel="0" collapsed="false">
      <c r="B7" s="2" t="s">
        <v>267</v>
      </c>
      <c r="C7" s="2" t="s">
        <v>272</v>
      </c>
      <c r="D7" s="14" t="n">
        <v>104760</v>
      </c>
      <c r="E7" s="32" t="n">
        <f aca="false">AfA_Geraete</f>
        <v>8</v>
      </c>
      <c r="F7" s="25" t="n">
        <f aca="false">IF(E7&gt;0,D7/E7,0)</f>
        <v>13095</v>
      </c>
      <c r="G7" s="19" t="n">
        <v>1</v>
      </c>
      <c r="H7" s="19" t="n">
        <v>-1</v>
      </c>
      <c r="I7" s="19" t="n">
        <v>1</v>
      </c>
      <c r="J7" s="3" t="s">
        <v>273</v>
      </c>
      <c r="M7" s="25" t="n">
        <f aca="false">IF(AND(M$4&gt;=$H7,M$4&lt;$H7+$I7),$D7/$I7,0)</f>
        <v>0</v>
      </c>
      <c r="N7" s="25" t="n">
        <f aca="false">IF(AND(N$4&gt;=$H7,N$4&lt;$H7+$I7),$D7/$I7,0)</f>
        <v>0</v>
      </c>
      <c r="O7" s="25" t="n">
        <f aca="false">IF(AND(O$4&gt;=$H7,O$4&lt;$H7+$I7),$D7/$I7,0)</f>
        <v>0</v>
      </c>
      <c r="P7" s="25" t="n">
        <f aca="false">IF(AND(P$4&gt;=$H7,P$4&lt;$H7+$I7),$D7/$I7,0)</f>
        <v>0</v>
      </c>
      <c r="Q7" s="25" t="n">
        <f aca="false">IF(AND(Q$4&gt;=$H7,Q$4&lt;$H7+$I7),$D7/$I7,0)</f>
        <v>104760</v>
      </c>
      <c r="R7" s="25" t="n">
        <f aca="false">IF(AND(R$4&gt;=$H7,R$4&lt;$H7+$I7),$D7/$I7,0)</f>
        <v>0</v>
      </c>
      <c r="S7" s="25" t="n">
        <f aca="false">IF(AND(S$4&gt;=$H7,S$4&lt;$H7+$I7),$D7/$I7,0)</f>
        <v>0</v>
      </c>
      <c r="T7" s="25" t="n">
        <f aca="false">IF(AND(T$4&gt;=$H7,T$4&lt;$H7+$I7),$D7/$I7,0)</f>
        <v>0</v>
      </c>
    </row>
    <row r="8" customFormat="false" ht="15" hidden="false" customHeight="false" outlineLevel="0" collapsed="false">
      <c r="B8" s="2" t="s">
        <v>267</v>
      </c>
      <c r="C8" s="2" t="s">
        <v>274</v>
      </c>
      <c r="D8" s="14" t="n">
        <v>6709</v>
      </c>
      <c r="E8" s="32" t="n">
        <f aca="false">AfA_Geraete</f>
        <v>8</v>
      </c>
      <c r="F8" s="25" t="n">
        <f aca="false">IF(E8&gt;0,D8/E8,0)</f>
        <v>838.625</v>
      </c>
      <c r="G8" s="19" t="n">
        <v>1</v>
      </c>
      <c r="H8" s="19" t="n">
        <v>-1</v>
      </c>
      <c r="I8" s="19" t="n">
        <v>1</v>
      </c>
      <c r="J8" s="3" t="s">
        <v>275</v>
      </c>
      <c r="M8" s="25" t="n">
        <f aca="false">IF(AND(M$4&gt;=$H8,M$4&lt;$H8+$I8),$D8/$I8,0)</f>
        <v>0</v>
      </c>
      <c r="N8" s="25" t="n">
        <f aca="false">IF(AND(N$4&gt;=$H8,N$4&lt;$H8+$I8),$D8/$I8,0)</f>
        <v>0</v>
      </c>
      <c r="O8" s="25" t="n">
        <f aca="false">IF(AND(O$4&gt;=$H8,O$4&lt;$H8+$I8),$D8/$I8,0)</f>
        <v>0</v>
      </c>
      <c r="P8" s="25" t="n">
        <f aca="false">IF(AND(P$4&gt;=$H8,P$4&lt;$H8+$I8),$D8/$I8,0)</f>
        <v>0</v>
      </c>
      <c r="Q8" s="25" t="n">
        <f aca="false">IF(AND(Q$4&gt;=$H8,Q$4&lt;$H8+$I8),$D8/$I8,0)</f>
        <v>6709</v>
      </c>
      <c r="R8" s="25" t="n">
        <f aca="false">IF(AND(R$4&gt;=$H8,R$4&lt;$H8+$I8),$D8/$I8,0)</f>
        <v>0</v>
      </c>
      <c r="S8" s="25" t="n">
        <f aca="false">IF(AND(S$4&gt;=$H8,S$4&lt;$H8+$I8),$D8/$I8,0)</f>
        <v>0</v>
      </c>
      <c r="T8" s="25" t="n">
        <f aca="false">IF(AND(T$4&gt;=$H8,T$4&lt;$H8+$I8),$D8/$I8,0)</f>
        <v>0</v>
      </c>
    </row>
    <row r="9" customFormat="false" ht="15" hidden="false" customHeight="false" outlineLevel="0" collapsed="false">
      <c r="B9" s="2" t="s">
        <v>267</v>
      </c>
      <c r="C9" s="2" t="s">
        <v>276</v>
      </c>
      <c r="D9" s="14" t="n">
        <v>20610</v>
      </c>
      <c r="E9" s="32" t="n">
        <f aca="false">AfA_Geraete</f>
        <v>8</v>
      </c>
      <c r="F9" s="25" t="n">
        <f aca="false">IF(E9&gt;0,D9/E9,0)</f>
        <v>2576.25</v>
      </c>
      <c r="G9" s="19" t="n">
        <v>1</v>
      </c>
      <c r="H9" s="19" t="n">
        <v>-1</v>
      </c>
      <c r="I9" s="19" t="n">
        <v>1</v>
      </c>
      <c r="J9" s="3" t="s">
        <v>277</v>
      </c>
      <c r="M9" s="25" t="n">
        <f aca="false">IF(AND(M$4&gt;=$H9,M$4&lt;$H9+$I9),$D9/$I9,0)</f>
        <v>0</v>
      </c>
      <c r="N9" s="25" t="n">
        <f aca="false">IF(AND(N$4&gt;=$H9,N$4&lt;$H9+$I9),$D9/$I9,0)</f>
        <v>0</v>
      </c>
      <c r="O9" s="25" t="n">
        <f aca="false">IF(AND(O$4&gt;=$H9,O$4&lt;$H9+$I9),$D9/$I9,0)</f>
        <v>0</v>
      </c>
      <c r="P9" s="25" t="n">
        <f aca="false">IF(AND(P$4&gt;=$H9,P$4&lt;$H9+$I9),$D9/$I9,0)</f>
        <v>0</v>
      </c>
      <c r="Q9" s="25" t="n">
        <f aca="false">IF(AND(Q$4&gt;=$H9,Q$4&lt;$H9+$I9),$D9/$I9,0)</f>
        <v>20610</v>
      </c>
      <c r="R9" s="25" t="n">
        <f aca="false">IF(AND(R$4&gt;=$H9,R$4&lt;$H9+$I9),$D9/$I9,0)</f>
        <v>0</v>
      </c>
      <c r="S9" s="25" t="n">
        <f aca="false">IF(AND(S$4&gt;=$H9,S$4&lt;$H9+$I9),$D9/$I9,0)</f>
        <v>0</v>
      </c>
      <c r="T9" s="25" t="n">
        <f aca="false">IF(AND(T$4&gt;=$H9,T$4&lt;$H9+$I9),$D9/$I9,0)</f>
        <v>0</v>
      </c>
    </row>
    <row r="10" customFormat="false" ht="15" hidden="false" customHeight="false" outlineLevel="0" collapsed="false">
      <c r="B10" s="2" t="s">
        <v>267</v>
      </c>
      <c r="C10" s="2" t="s">
        <v>278</v>
      </c>
      <c r="D10" s="14" t="n">
        <v>25274</v>
      </c>
      <c r="E10" s="32" t="n">
        <f aca="false">AfA_Geraete</f>
        <v>8</v>
      </c>
      <c r="F10" s="25" t="n">
        <f aca="false">IF(E10&gt;0,D10/E10,0)</f>
        <v>3159.25</v>
      </c>
      <c r="G10" s="19" t="n">
        <v>1</v>
      </c>
      <c r="H10" s="19" t="n">
        <v>-1</v>
      </c>
      <c r="I10" s="19" t="n">
        <v>1</v>
      </c>
      <c r="J10" s="3" t="s">
        <v>277</v>
      </c>
      <c r="M10" s="25" t="n">
        <f aca="false">IF(AND(M$4&gt;=$H10,M$4&lt;$H10+$I10),$D10/$I10,0)</f>
        <v>0</v>
      </c>
      <c r="N10" s="25" t="n">
        <f aca="false">IF(AND(N$4&gt;=$H10,N$4&lt;$H10+$I10),$D10/$I10,0)</f>
        <v>0</v>
      </c>
      <c r="O10" s="25" t="n">
        <f aca="false">IF(AND(O$4&gt;=$H10,O$4&lt;$H10+$I10),$D10/$I10,0)</f>
        <v>0</v>
      </c>
      <c r="P10" s="25" t="n">
        <f aca="false">IF(AND(P$4&gt;=$H10,P$4&lt;$H10+$I10),$D10/$I10,0)</f>
        <v>0</v>
      </c>
      <c r="Q10" s="25" t="n">
        <f aca="false">IF(AND(Q$4&gt;=$H10,Q$4&lt;$H10+$I10),$D10/$I10,0)</f>
        <v>25274</v>
      </c>
      <c r="R10" s="25" t="n">
        <f aca="false">IF(AND(R$4&gt;=$H10,R$4&lt;$H10+$I10),$D10/$I10,0)</f>
        <v>0</v>
      </c>
      <c r="S10" s="25" t="n">
        <f aca="false">IF(AND(S$4&gt;=$H10,S$4&lt;$H10+$I10),$D10/$I10,0)</f>
        <v>0</v>
      </c>
      <c r="T10" s="25" t="n">
        <f aca="false">IF(AND(T$4&gt;=$H10,T$4&lt;$H10+$I10),$D10/$I10,0)</f>
        <v>0</v>
      </c>
    </row>
    <row r="11" customFormat="false" ht="15" hidden="false" customHeight="false" outlineLevel="0" collapsed="false">
      <c r="B11" s="2" t="s">
        <v>267</v>
      </c>
      <c r="C11" s="2" t="s">
        <v>279</v>
      </c>
      <c r="D11" s="14" t="n">
        <v>32310</v>
      </c>
      <c r="E11" s="32" t="n">
        <f aca="false">AfA_Geraete</f>
        <v>8</v>
      </c>
      <c r="F11" s="25" t="n">
        <f aca="false">IF(E11&gt;0,D11/E11,0)</f>
        <v>4038.75</v>
      </c>
      <c r="G11" s="19" t="n">
        <v>1</v>
      </c>
      <c r="H11" s="19" t="n">
        <v>-1</v>
      </c>
      <c r="I11" s="19" t="n">
        <v>1</v>
      </c>
      <c r="J11" s="3" t="s">
        <v>280</v>
      </c>
      <c r="M11" s="25" t="n">
        <f aca="false">IF(AND(M$4&gt;=$H11,M$4&lt;$H11+$I11),$D11/$I11,0)</f>
        <v>0</v>
      </c>
      <c r="N11" s="25" t="n">
        <f aca="false">IF(AND(N$4&gt;=$H11,N$4&lt;$H11+$I11),$D11/$I11,0)</f>
        <v>0</v>
      </c>
      <c r="O11" s="25" t="n">
        <f aca="false">IF(AND(O$4&gt;=$H11,O$4&lt;$H11+$I11),$D11/$I11,0)</f>
        <v>0</v>
      </c>
      <c r="P11" s="25" t="n">
        <f aca="false">IF(AND(P$4&gt;=$H11,P$4&lt;$H11+$I11),$D11/$I11,0)</f>
        <v>0</v>
      </c>
      <c r="Q11" s="25" t="n">
        <f aca="false">IF(AND(Q$4&gt;=$H11,Q$4&lt;$H11+$I11),$D11/$I11,0)</f>
        <v>32310</v>
      </c>
      <c r="R11" s="25" t="n">
        <f aca="false">IF(AND(R$4&gt;=$H11,R$4&lt;$H11+$I11),$D11/$I11,0)</f>
        <v>0</v>
      </c>
      <c r="S11" s="25" t="n">
        <f aca="false">IF(AND(S$4&gt;=$H11,S$4&lt;$H11+$I11),$D11/$I11,0)</f>
        <v>0</v>
      </c>
      <c r="T11" s="25" t="n">
        <f aca="false">IF(AND(T$4&gt;=$H11,T$4&lt;$H11+$I11),$D11/$I11,0)</f>
        <v>0</v>
      </c>
    </row>
    <row r="12" customFormat="false" ht="15" hidden="false" customHeight="false" outlineLevel="0" collapsed="false">
      <c r="B12" s="2" t="s">
        <v>267</v>
      </c>
      <c r="C12" s="2" t="s">
        <v>281</v>
      </c>
      <c r="D12" s="14" t="n">
        <v>26250</v>
      </c>
      <c r="E12" s="32" t="n">
        <f aca="false">AfA_Geraete</f>
        <v>8</v>
      </c>
      <c r="F12" s="25" t="n">
        <f aca="false">IF(E12&gt;0,D12/E12,0)</f>
        <v>3281.25</v>
      </c>
      <c r="G12" s="19" t="n">
        <v>1</v>
      </c>
      <c r="H12" s="19" t="n">
        <v>-1</v>
      </c>
      <c r="I12" s="19" t="n">
        <v>1</v>
      </c>
      <c r="J12" s="3" t="s">
        <v>282</v>
      </c>
      <c r="M12" s="25" t="n">
        <f aca="false">IF(AND(M$4&gt;=$H12,M$4&lt;$H12+$I12),$D12/$I12,0)</f>
        <v>0</v>
      </c>
      <c r="N12" s="25" t="n">
        <f aca="false">IF(AND(N$4&gt;=$H12,N$4&lt;$H12+$I12),$D12/$I12,0)</f>
        <v>0</v>
      </c>
      <c r="O12" s="25" t="n">
        <f aca="false">IF(AND(O$4&gt;=$H12,O$4&lt;$H12+$I12),$D12/$I12,0)</f>
        <v>0</v>
      </c>
      <c r="P12" s="25" t="n">
        <f aca="false">IF(AND(P$4&gt;=$H12,P$4&lt;$H12+$I12),$D12/$I12,0)</f>
        <v>0</v>
      </c>
      <c r="Q12" s="25" t="n">
        <f aca="false">IF(AND(Q$4&gt;=$H12,Q$4&lt;$H12+$I12),$D12/$I12,0)</f>
        <v>26250</v>
      </c>
      <c r="R12" s="25" t="n">
        <f aca="false">IF(AND(R$4&gt;=$H12,R$4&lt;$H12+$I12),$D12/$I12,0)</f>
        <v>0</v>
      </c>
      <c r="S12" s="25" t="n">
        <f aca="false">IF(AND(S$4&gt;=$H12,S$4&lt;$H12+$I12),$D12/$I12,0)</f>
        <v>0</v>
      </c>
      <c r="T12" s="25" t="n">
        <f aca="false">IF(AND(T$4&gt;=$H12,T$4&lt;$H12+$I12),$D12/$I12,0)</f>
        <v>0</v>
      </c>
    </row>
    <row r="13" customFormat="false" ht="15" hidden="false" customHeight="false" outlineLevel="0" collapsed="false">
      <c r="B13" s="2" t="s">
        <v>267</v>
      </c>
      <c r="C13" s="2" t="s">
        <v>283</v>
      </c>
      <c r="D13" s="14" t="n">
        <v>55850</v>
      </c>
      <c r="E13" s="32" t="n">
        <f aca="false">AfA_Geraete</f>
        <v>8</v>
      </c>
      <c r="F13" s="25" t="n">
        <f aca="false">IF(E13&gt;0,D13/E13,0)</f>
        <v>6981.25</v>
      </c>
      <c r="G13" s="19" t="n">
        <v>1</v>
      </c>
      <c r="H13" s="19" t="n">
        <v>-1</v>
      </c>
      <c r="I13" s="19" t="n">
        <v>1</v>
      </c>
      <c r="J13" s="3" t="s">
        <v>284</v>
      </c>
      <c r="M13" s="25" t="n">
        <f aca="false">IF(AND(M$4&gt;=$H13,M$4&lt;$H13+$I13),$D13/$I13,0)</f>
        <v>0</v>
      </c>
      <c r="N13" s="25" t="n">
        <f aca="false">IF(AND(N$4&gt;=$H13,N$4&lt;$H13+$I13),$D13/$I13,0)</f>
        <v>0</v>
      </c>
      <c r="O13" s="25" t="n">
        <f aca="false">IF(AND(O$4&gt;=$H13,O$4&lt;$H13+$I13),$D13/$I13,0)</f>
        <v>0</v>
      </c>
      <c r="P13" s="25" t="n">
        <f aca="false">IF(AND(P$4&gt;=$H13,P$4&lt;$H13+$I13),$D13/$I13,0)</f>
        <v>0</v>
      </c>
      <c r="Q13" s="25" t="n">
        <f aca="false">IF(AND(Q$4&gt;=$H13,Q$4&lt;$H13+$I13),$D13/$I13,0)</f>
        <v>55850</v>
      </c>
      <c r="R13" s="25" t="n">
        <f aca="false">IF(AND(R$4&gt;=$H13,R$4&lt;$H13+$I13),$D13/$I13,0)</f>
        <v>0</v>
      </c>
      <c r="S13" s="25" t="n">
        <f aca="false">IF(AND(S$4&gt;=$H13,S$4&lt;$H13+$I13),$D13/$I13,0)</f>
        <v>0</v>
      </c>
      <c r="T13" s="25" t="n">
        <f aca="false">IF(AND(T$4&gt;=$H13,T$4&lt;$H13+$I13),$D13/$I13,0)</f>
        <v>0</v>
      </c>
    </row>
    <row r="14" customFormat="false" ht="15" hidden="false" customHeight="false" outlineLevel="0" collapsed="false">
      <c r="B14" s="2" t="s">
        <v>267</v>
      </c>
      <c r="C14" s="2" t="s">
        <v>285</v>
      </c>
      <c r="D14" s="14" t="n">
        <v>5450</v>
      </c>
      <c r="E14" s="32" t="n">
        <f aca="false">AfA_Geraete</f>
        <v>8</v>
      </c>
      <c r="F14" s="25" t="n">
        <f aca="false">IF(E14&gt;0,D14/E14,0)</f>
        <v>681.25</v>
      </c>
      <c r="G14" s="19" t="n">
        <v>1</v>
      </c>
      <c r="H14" s="19" t="n">
        <v>-1</v>
      </c>
      <c r="I14" s="19" t="n">
        <v>1</v>
      </c>
      <c r="J14" s="3" t="s">
        <v>286</v>
      </c>
      <c r="M14" s="25" t="n">
        <f aca="false">IF(AND(M$4&gt;=$H14,M$4&lt;$H14+$I14),$D14/$I14,0)</f>
        <v>0</v>
      </c>
      <c r="N14" s="25" t="n">
        <f aca="false">IF(AND(N$4&gt;=$H14,N$4&lt;$H14+$I14),$D14/$I14,0)</f>
        <v>0</v>
      </c>
      <c r="O14" s="25" t="n">
        <f aca="false">IF(AND(O$4&gt;=$H14,O$4&lt;$H14+$I14),$D14/$I14,0)</f>
        <v>0</v>
      </c>
      <c r="P14" s="25" t="n">
        <f aca="false">IF(AND(P$4&gt;=$H14,P$4&lt;$H14+$I14),$D14/$I14,0)</f>
        <v>0</v>
      </c>
      <c r="Q14" s="25" t="n">
        <f aca="false">IF(AND(Q$4&gt;=$H14,Q$4&lt;$H14+$I14),$D14/$I14,0)</f>
        <v>5450</v>
      </c>
      <c r="R14" s="25" t="n">
        <f aca="false">IF(AND(R$4&gt;=$H14,R$4&lt;$H14+$I14),$D14/$I14,0)</f>
        <v>0</v>
      </c>
      <c r="S14" s="25" t="n">
        <f aca="false">IF(AND(S$4&gt;=$H14,S$4&lt;$H14+$I14),$D14/$I14,0)</f>
        <v>0</v>
      </c>
      <c r="T14" s="25" t="n">
        <f aca="false">IF(AND(T$4&gt;=$H14,T$4&lt;$H14+$I14),$D14/$I14,0)</f>
        <v>0</v>
      </c>
    </row>
    <row r="15" customFormat="false" ht="15" hidden="false" customHeight="false" outlineLevel="0" collapsed="false">
      <c r="B15" s="2" t="s">
        <v>267</v>
      </c>
      <c r="C15" s="2" t="s">
        <v>287</v>
      </c>
      <c r="D15" s="14" t="n">
        <v>8850</v>
      </c>
      <c r="E15" s="32" t="n">
        <f aca="false">AfA_Geraete</f>
        <v>8</v>
      </c>
      <c r="F15" s="25" t="n">
        <f aca="false">IF(E15&gt;0,D15/E15,0)</f>
        <v>1106.25</v>
      </c>
      <c r="G15" s="19" t="n">
        <v>1</v>
      </c>
      <c r="H15" s="19" t="n">
        <v>-1</v>
      </c>
      <c r="I15" s="19" t="n">
        <v>1</v>
      </c>
      <c r="J15" s="3" t="s">
        <v>288</v>
      </c>
      <c r="M15" s="25" t="n">
        <f aca="false">IF(AND(M$4&gt;=$H15,M$4&lt;$H15+$I15),$D15/$I15,0)</f>
        <v>0</v>
      </c>
      <c r="N15" s="25" t="n">
        <f aca="false">IF(AND(N$4&gt;=$H15,N$4&lt;$H15+$I15),$D15/$I15,0)</f>
        <v>0</v>
      </c>
      <c r="O15" s="25" t="n">
        <f aca="false">IF(AND(O$4&gt;=$H15,O$4&lt;$H15+$I15),$D15/$I15,0)</f>
        <v>0</v>
      </c>
      <c r="P15" s="25" t="n">
        <f aca="false">IF(AND(P$4&gt;=$H15,P$4&lt;$H15+$I15),$D15/$I15,0)</f>
        <v>0</v>
      </c>
      <c r="Q15" s="25" t="n">
        <f aca="false">IF(AND(Q$4&gt;=$H15,Q$4&lt;$H15+$I15),$D15/$I15,0)</f>
        <v>8850</v>
      </c>
      <c r="R15" s="25" t="n">
        <f aca="false">IF(AND(R$4&gt;=$H15,R$4&lt;$H15+$I15),$D15/$I15,0)</f>
        <v>0</v>
      </c>
      <c r="S15" s="25" t="n">
        <f aca="false">IF(AND(S$4&gt;=$H15,S$4&lt;$H15+$I15),$D15/$I15,0)</f>
        <v>0</v>
      </c>
      <c r="T15" s="25" t="n">
        <f aca="false">IF(AND(T$4&gt;=$H15,T$4&lt;$H15+$I15),$D15/$I15,0)</f>
        <v>0</v>
      </c>
    </row>
    <row r="16" customFormat="false" ht="15" hidden="false" customHeight="false" outlineLevel="0" collapsed="false">
      <c r="B16" s="2" t="s">
        <v>267</v>
      </c>
      <c r="C16" s="2" t="s">
        <v>289</v>
      </c>
      <c r="D16" s="14" t="n">
        <v>32035</v>
      </c>
      <c r="E16" s="32" t="n">
        <f aca="false">AfA_Geraete</f>
        <v>8</v>
      </c>
      <c r="F16" s="25" t="n">
        <f aca="false">IF(E16&gt;0,D16/E16,0)</f>
        <v>4004.375</v>
      </c>
      <c r="G16" s="19" t="n">
        <v>1</v>
      </c>
      <c r="H16" s="19" t="n">
        <v>-1</v>
      </c>
      <c r="I16" s="19" t="n">
        <v>1</v>
      </c>
      <c r="J16" s="3" t="s">
        <v>290</v>
      </c>
      <c r="M16" s="25" t="n">
        <f aca="false">IF(AND(M$4&gt;=$H16,M$4&lt;$H16+$I16),$D16/$I16,0)</f>
        <v>0</v>
      </c>
      <c r="N16" s="25" t="n">
        <f aca="false">IF(AND(N$4&gt;=$H16,N$4&lt;$H16+$I16),$D16/$I16,0)</f>
        <v>0</v>
      </c>
      <c r="O16" s="25" t="n">
        <f aca="false">IF(AND(O$4&gt;=$H16,O$4&lt;$H16+$I16),$D16/$I16,0)</f>
        <v>0</v>
      </c>
      <c r="P16" s="25" t="n">
        <f aca="false">IF(AND(P$4&gt;=$H16,P$4&lt;$H16+$I16),$D16/$I16,0)</f>
        <v>0</v>
      </c>
      <c r="Q16" s="25" t="n">
        <f aca="false">IF(AND(Q$4&gt;=$H16,Q$4&lt;$H16+$I16),$D16/$I16,0)</f>
        <v>32035</v>
      </c>
      <c r="R16" s="25" t="n">
        <f aca="false">IF(AND(R$4&gt;=$H16,R$4&lt;$H16+$I16),$D16/$I16,0)</f>
        <v>0</v>
      </c>
      <c r="S16" s="25" t="n">
        <f aca="false">IF(AND(S$4&gt;=$H16,S$4&lt;$H16+$I16),$D16/$I16,0)</f>
        <v>0</v>
      </c>
      <c r="T16" s="25" t="n">
        <f aca="false">IF(AND(T$4&gt;=$H16,T$4&lt;$H16+$I16),$D16/$I16,0)</f>
        <v>0</v>
      </c>
    </row>
    <row r="17" customFormat="false" ht="15" hidden="false" customHeight="false" outlineLevel="0" collapsed="false">
      <c r="B17" s="2" t="s">
        <v>267</v>
      </c>
      <c r="C17" s="2" t="s">
        <v>291</v>
      </c>
      <c r="D17" s="14" t="n">
        <v>32228</v>
      </c>
      <c r="E17" s="32" t="n">
        <f aca="false">AfA_Geraete</f>
        <v>8</v>
      </c>
      <c r="F17" s="25" t="n">
        <f aca="false">IF(E17&gt;0,D17/E17,0)</f>
        <v>4028.5</v>
      </c>
      <c r="G17" s="19" t="n">
        <v>0</v>
      </c>
      <c r="H17" s="19" t="n">
        <v>-1</v>
      </c>
      <c r="I17" s="19" t="n">
        <v>1</v>
      </c>
      <c r="J17" s="3" t="s">
        <v>292</v>
      </c>
      <c r="M17" s="25" t="n">
        <f aca="false">IF(AND(M$4&gt;=$H17,M$4&lt;$H17+$I17),$D17/$I17,0)</f>
        <v>0</v>
      </c>
      <c r="N17" s="25" t="n">
        <f aca="false">IF(AND(N$4&gt;=$H17,N$4&lt;$H17+$I17),$D17/$I17,0)</f>
        <v>0</v>
      </c>
      <c r="O17" s="25" t="n">
        <f aca="false">IF(AND(O$4&gt;=$H17,O$4&lt;$H17+$I17),$D17/$I17,0)</f>
        <v>0</v>
      </c>
      <c r="P17" s="25" t="n">
        <f aca="false">IF(AND(P$4&gt;=$H17,P$4&lt;$H17+$I17),$D17/$I17,0)</f>
        <v>0</v>
      </c>
      <c r="Q17" s="25" t="n">
        <f aca="false">IF(AND(Q$4&gt;=$H17,Q$4&lt;$H17+$I17),$D17/$I17,0)</f>
        <v>32228</v>
      </c>
      <c r="R17" s="25" t="n">
        <f aca="false">IF(AND(R$4&gt;=$H17,R$4&lt;$H17+$I17),$D17/$I17,0)</f>
        <v>0</v>
      </c>
      <c r="S17" s="25" t="n">
        <f aca="false">IF(AND(S$4&gt;=$H17,S$4&lt;$H17+$I17),$D17/$I17,0)</f>
        <v>0</v>
      </c>
      <c r="T17" s="25" t="n">
        <f aca="false">IF(AND(T$4&gt;=$H17,T$4&lt;$H17+$I17),$D17/$I17,0)</f>
        <v>0</v>
      </c>
    </row>
    <row r="18" customFormat="false" ht="15" hidden="false" customHeight="false" outlineLevel="0" collapsed="false">
      <c r="B18" s="2" t="s">
        <v>293</v>
      </c>
      <c r="C18" s="2" t="s">
        <v>294</v>
      </c>
      <c r="D18" s="14" t="n">
        <v>482784</v>
      </c>
      <c r="E18" s="32" t="n">
        <f aca="false">AfA_Ausbau</f>
        <v>10</v>
      </c>
      <c r="F18" s="25" t="n">
        <f aca="false">IF(E18&gt;0,D18/E18,0)</f>
        <v>48278.4</v>
      </c>
      <c r="G18" s="19" t="n">
        <v>1</v>
      </c>
      <c r="H18" s="19" t="n">
        <v>-4</v>
      </c>
      <c r="I18" s="19" t="n">
        <v>4</v>
      </c>
      <c r="J18" s="3" t="s">
        <v>295</v>
      </c>
      <c r="M18" s="25" t="n">
        <f aca="false">IF(AND(M$4&gt;=$H18,M$4&lt;$H18+$I18),$D18/$I18,0)</f>
        <v>0</v>
      </c>
      <c r="N18" s="25" t="n">
        <f aca="false">IF(AND(N$4&gt;=$H18,N$4&lt;$H18+$I18),$D18/$I18,0)</f>
        <v>120696</v>
      </c>
      <c r="O18" s="25" t="n">
        <f aca="false">IF(AND(O$4&gt;=$H18,O$4&lt;$H18+$I18),$D18/$I18,0)</f>
        <v>120696</v>
      </c>
      <c r="P18" s="25" t="n">
        <f aca="false">IF(AND(P$4&gt;=$H18,P$4&lt;$H18+$I18),$D18/$I18,0)</f>
        <v>120696</v>
      </c>
      <c r="Q18" s="25" t="n">
        <f aca="false">IF(AND(Q$4&gt;=$H18,Q$4&lt;$H18+$I18),$D18/$I18,0)</f>
        <v>120696</v>
      </c>
      <c r="R18" s="25" t="n">
        <f aca="false">IF(AND(R$4&gt;=$H18,R$4&lt;$H18+$I18),$D18/$I18,0)</f>
        <v>0</v>
      </c>
      <c r="S18" s="25" t="n">
        <f aca="false">IF(AND(S$4&gt;=$H18,S$4&lt;$H18+$I18),$D18/$I18,0)</f>
        <v>0</v>
      </c>
      <c r="T18" s="25" t="n">
        <f aca="false">IF(AND(T$4&gt;=$H18,T$4&lt;$H18+$I18),$D18/$I18,0)</f>
        <v>0</v>
      </c>
    </row>
    <row r="19" customFormat="false" ht="15" hidden="false" customHeight="false" outlineLevel="0" collapsed="false">
      <c r="B19" s="2" t="s">
        <v>293</v>
      </c>
      <c r="C19" s="2" t="s">
        <v>296</v>
      </c>
      <c r="D19" s="14" t="n">
        <v>62622</v>
      </c>
      <c r="E19" s="32" t="n">
        <f aca="false">AfA_Ausbau</f>
        <v>10</v>
      </c>
      <c r="F19" s="25" t="n">
        <f aca="false">IF(E19&gt;0,D19/E19,0)</f>
        <v>6262.2</v>
      </c>
      <c r="G19" s="19" t="n">
        <v>1</v>
      </c>
      <c r="H19" s="19" t="n">
        <v>-4</v>
      </c>
      <c r="I19" s="19" t="n">
        <v>4</v>
      </c>
      <c r="J19" s="3" t="s">
        <v>297</v>
      </c>
      <c r="M19" s="25" t="n">
        <f aca="false">IF(AND(M$4&gt;=$H19,M$4&lt;$H19+$I19),$D19/$I19,0)</f>
        <v>0</v>
      </c>
      <c r="N19" s="25" t="n">
        <f aca="false">IF(AND(N$4&gt;=$H19,N$4&lt;$H19+$I19),$D19/$I19,0)</f>
        <v>15655.5</v>
      </c>
      <c r="O19" s="25" t="n">
        <f aca="false">IF(AND(O$4&gt;=$H19,O$4&lt;$H19+$I19),$D19/$I19,0)</f>
        <v>15655.5</v>
      </c>
      <c r="P19" s="25" t="n">
        <f aca="false">IF(AND(P$4&gt;=$H19,P$4&lt;$H19+$I19),$D19/$I19,0)</f>
        <v>15655.5</v>
      </c>
      <c r="Q19" s="25" t="n">
        <f aca="false">IF(AND(Q$4&gt;=$H19,Q$4&lt;$H19+$I19),$D19/$I19,0)</f>
        <v>15655.5</v>
      </c>
      <c r="R19" s="25" t="n">
        <f aca="false">IF(AND(R$4&gt;=$H19,R$4&lt;$H19+$I19),$D19/$I19,0)</f>
        <v>0</v>
      </c>
      <c r="S19" s="25" t="n">
        <f aca="false">IF(AND(S$4&gt;=$H19,S$4&lt;$H19+$I19),$D19/$I19,0)</f>
        <v>0</v>
      </c>
      <c r="T19" s="25" t="n">
        <f aca="false">IF(AND(T$4&gt;=$H19,T$4&lt;$H19+$I19),$D19/$I19,0)</f>
        <v>0</v>
      </c>
    </row>
    <row r="20" customFormat="false" ht="15" hidden="false" customHeight="false" outlineLevel="0" collapsed="false">
      <c r="B20" s="2" t="s">
        <v>293</v>
      </c>
      <c r="C20" s="2" t="s">
        <v>298</v>
      </c>
      <c r="D20" s="14" t="n">
        <v>14309</v>
      </c>
      <c r="E20" s="32" t="n">
        <f aca="false">AfA_Ausbau</f>
        <v>10</v>
      </c>
      <c r="F20" s="25" t="n">
        <f aca="false">IF(E20&gt;0,D20/E20,0)</f>
        <v>1430.9</v>
      </c>
      <c r="G20" s="19" t="n">
        <v>1</v>
      </c>
      <c r="H20" s="19" t="n">
        <v>-4</v>
      </c>
      <c r="I20" s="19" t="n">
        <v>4</v>
      </c>
      <c r="J20" s="3" t="s">
        <v>299</v>
      </c>
      <c r="M20" s="25" t="n">
        <f aca="false">IF(AND(M$4&gt;=$H20,M$4&lt;$H20+$I20),$D20/$I20,0)</f>
        <v>0</v>
      </c>
      <c r="N20" s="25" t="n">
        <f aca="false">IF(AND(N$4&gt;=$H20,N$4&lt;$H20+$I20),$D20/$I20,0)</f>
        <v>3577.25</v>
      </c>
      <c r="O20" s="25" t="n">
        <f aca="false">IF(AND(O$4&gt;=$H20,O$4&lt;$H20+$I20),$D20/$I20,0)</f>
        <v>3577.25</v>
      </c>
      <c r="P20" s="25" t="n">
        <f aca="false">IF(AND(P$4&gt;=$H20,P$4&lt;$H20+$I20),$D20/$I20,0)</f>
        <v>3577.25</v>
      </c>
      <c r="Q20" s="25" t="n">
        <f aca="false">IF(AND(Q$4&gt;=$H20,Q$4&lt;$H20+$I20),$D20/$I20,0)</f>
        <v>3577.25</v>
      </c>
      <c r="R20" s="25" t="n">
        <f aca="false">IF(AND(R$4&gt;=$H20,R$4&lt;$H20+$I20),$D20/$I20,0)</f>
        <v>0</v>
      </c>
      <c r="S20" s="25" t="n">
        <f aca="false">IF(AND(S$4&gt;=$H20,S$4&lt;$H20+$I20),$D20/$I20,0)</f>
        <v>0</v>
      </c>
      <c r="T20" s="25" t="n">
        <f aca="false">IF(AND(T$4&gt;=$H20,T$4&lt;$H20+$I20),$D20/$I20,0)</f>
        <v>0</v>
      </c>
    </row>
    <row r="21" customFormat="false" ht="15" hidden="false" customHeight="false" outlineLevel="0" collapsed="false">
      <c r="B21" s="2" t="s">
        <v>293</v>
      </c>
      <c r="C21" s="2" t="s">
        <v>300</v>
      </c>
      <c r="D21" s="14" t="n">
        <v>212425</v>
      </c>
      <c r="E21" s="32" t="n">
        <f aca="false">AfA_Ausbau</f>
        <v>10</v>
      </c>
      <c r="F21" s="25" t="n">
        <f aca="false">IF(E21&gt;0,D21/E21,0)</f>
        <v>21242.5</v>
      </c>
      <c r="G21" s="19" t="n">
        <v>1</v>
      </c>
      <c r="H21" s="19" t="n">
        <v>-4</v>
      </c>
      <c r="I21" s="19" t="n">
        <v>4</v>
      </c>
      <c r="J21" s="3" t="s">
        <v>301</v>
      </c>
      <c r="M21" s="25" t="n">
        <f aca="false">IF(AND(M$4&gt;=$H21,M$4&lt;$H21+$I21),$D21/$I21,0)</f>
        <v>0</v>
      </c>
      <c r="N21" s="25" t="n">
        <f aca="false">IF(AND(N$4&gt;=$H21,N$4&lt;$H21+$I21),$D21/$I21,0)</f>
        <v>53106.25</v>
      </c>
      <c r="O21" s="25" t="n">
        <f aca="false">IF(AND(O$4&gt;=$H21,O$4&lt;$H21+$I21),$D21/$I21,0)</f>
        <v>53106.25</v>
      </c>
      <c r="P21" s="25" t="n">
        <f aca="false">IF(AND(P$4&gt;=$H21,P$4&lt;$H21+$I21),$D21/$I21,0)</f>
        <v>53106.25</v>
      </c>
      <c r="Q21" s="25" t="n">
        <f aca="false">IF(AND(Q$4&gt;=$H21,Q$4&lt;$H21+$I21),$D21/$I21,0)</f>
        <v>53106.25</v>
      </c>
      <c r="R21" s="25" t="n">
        <f aca="false">IF(AND(R$4&gt;=$H21,R$4&lt;$H21+$I21),$D21/$I21,0)</f>
        <v>0</v>
      </c>
      <c r="S21" s="25" t="n">
        <f aca="false">IF(AND(S$4&gt;=$H21,S$4&lt;$H21+$I21),$D21/$I21,0)</f>
        <v>0</v>
      </c>
      <c r="T21" s="25" t="n">
        <f aca="false">IF(AND(T$4&gt;=$H21,T$4&lt;$H21+$I21),$D21/$I21,0)</f>
        <v>0</v>
      </c>
    </row>
    <row r="22" customFormat="false" ht="15" hidden="false" customHeight="false" outlineLevel="0" collapsed="false">
      <c r="B22" s="2" t="s">
        <v>293</v>
      </c>
      <c r="C22" s="2" t="s">
        <v>302</v>
      </c>
      <c r="D22" s="14" t="n">
        <v>21714</v>
      </c>
      <c r="E22" s="32" t="n">
        <f aca="false">AfA_Ausbau</f>
        <v>10</v>
      </c>
      <c r="F22" s="25" t="n">
        <f aca="false">IF(E22&gt;0,D22/E22,0)</f>
        <v>2171.4</v>
      </c>
      <c r="G22" s="19" t="n">
        <v>1</v>
      </c>
      <c r="H22" s="19" t="n">
        <v>-4</v>
      </c>
      <c r="I22" s="19" t="n">
        <v>4</v>
      </c>
      <c r="J22" s="3" t="s">
        <v>303</v>
      </c>
      <c r="M22" s="25" t="n">
        <f aca="false">IF(AND(M$4&gt;=$H22,M$4&lt;$H22+$I22),$D22/$I22,0)</f>
        <v>0</v>
      </c>
      <c r="N22" s="25" t="n">
        <f aca="false">IF(AND(N$4&gt;=$H22,N$4&lt;$H22+$I22),$D22/$I22,0)</f>
        <v>5428.5</v>
      </c>
      <c r="O22" s="25" t="n">
        <f aca="false">IF(AND(O$4&gt;=$H22,O$4&lt;$H22+$I22),$D22/$I22,0)</f>
        <v>5428.5</v>
      </c>
      <c r="P22" s="25" t="n">
        <f aca="false">IF(AND(P$4&gt;=$H22,P$4&lt;$H22+$I22),$D22/$I22,0)</f>
        <v>5428.5</v>
      </c>
      <c r="Q22" s="25" t="n">
        <f aca="false">IF(AND(Q$4&gt;=$H22,Q$4&lt;$H22+$I22),$D22/$I22,0)</f>
        <v>5428.5</v>
      </c>
      <c r="R22" s="25" t="n">
        <f aca="false">IF(AND(R$4&gt;=$H22,R$4&lt;$H22+$I22),$D22/$I22,0)</f>
        <v>0</v>
      </c>
      <c r="S22" s="25" t="n">
        <f aca="false">IF(AND(S$4&gt;=$H22,S$4&lt;$H22+$I22),$D22/$I22,0)</f>
        <v>0</v>
      </c>
      <c r="T22" s="25" t="n">
        <f aca="false">IF(AND(T$4&gt;=$H22,T$4&lt;$H22+$I22),$D22/$I22,0)</f>
        <v>0</v>
      </c>
    </row>
    <row r="23" customFormat="false" ht="15" hidden="false" customHeight="false" outlineLevel="0" collapsed="false">
      <c r="B23" s="2" t="s">
        <v>293</v>
      </c>
      <c r="C23" s="2" t="s">
        <v>304</v>
      </c>
      <c r="D23" s="14" t="n">
        <v>57934</v>
      </c>
      <c r="E23" s="32" t="n">
        <f aca="false">AfA_Ausbau</f>
        <v>10</v>
      </c>
      <c r="F23" s="25" t="n">
        <f aca="false">IF(E23&gt;0,D23/E23,0)</f>
        <v>5793.4</v>
      </c>
      <c r="G23" s="19" t="n">
        <v>1</v>
      </c>
      <c r="H23" s="19" t="n">
        <v>-4</v>
      </c>
      <c r="I23" s="19" t="n">
        <v>4</v>
      </c>
      <c r="J23" s="3" t="s">
        <v>305</v>
      </c>
      <c r="M23" s="25" t="n">
        <f aca="false">IF(AND(M$4&gt;=$H23,M$4&lt;$H23+$I23),$D23/$I23,0)</f>
        <v>0</v>
      </c>
      <c r="N23" s="25" t="n">
        <f aca="false">IF(AND(N$4&gt;=$H23,N$4&lt;$H23+$I23),$D23/$I23,0)</f>
        <v>14483.5</v>
      </c>
      <c r="O23" s="25" t="n">
        <f aca="false">IF(AND(O$4&gt;=$H23,O$4&lt;$H23+$I23),$D23/$I23,0)</f>
        <v>14483.5</v>
      </c>
      <c r="P23" s="25" t="n">
        <f aca="false">IF(AND(P$4&gt;=$H23,P$4&lt;$H23+$I23),$D23/$I23,0)</f>
        <v>14483.5</v>
      </c>
      <c r="Q23" s="25" t="n">
        <f aca="false">IF(AND(Q$4&gt;=$H23,Q$4&lt;$H23+$I23),$D23/$I23,0)</f>
        <v>14483.5</v>
      </c>
      <c r="R23" s="25" t="n">
        <f aca="false">IF(AND(R$4&gt;=$H23,R$4&lt;$H23+$I23),$D23/$I23,0)</f>
        <v>0</v>
      </c>
      <c r="S23" s="25" t="n">
        <f aca="false">IF(AND(S$4&gt;=$H23,S$4&lt;$H23+$I23),$D23/$I23,0)</f>
        <v>0</v>
      </c>
      <c r="T23" s="25" t="n">
        <f aca="false">IF(AND(T$4&gt;=$H23,T$4&lt;$H23+$I23),$D23/$I23,0)</f>
        <v>0</v>
      </c>
    </row>
    <row r="24" customFormat="false" ht="15" hidden="false" customHeight="false" outlineLevel="0" collapsed="false">
      <c r="B24" s="2" t="s">
        <v>306</v>
      </c>
      <c r="C24" s="2" t="s">
        <v>307</v>
      </c>
      <c r="D24" s="14" t="n">
        <v>27000</v>
      </c>
      <c r="E24" s="32" t="n">
        <f aca="false">AfA_Ausbau</f>
        <v>10</v>
      </c>
      <c r="F24" s="25" t="n">
        <f aca="false">IF(E24&gt;0,D24/E24,0)</f>
        <v>2700</v>
      </c>
      <c r="G24" s="19" t="n">
        <v>1</v>
      </c>
      <c r="H24" s="19" t="n">
        <v>-4</v>
      </c>
      <c r="I24" s="19" t="n">
        <v>4</v>
      </c>
      <c r="J24" s="3" t="s">
        <v>308</v>
      </c>
      <c r="M24" s="25" t="n">
        <f aca="false">IF(AND(M$4&gt;=$H24,M$4&lt;$H24+$I24),$D24/$I24,0)</f>
        <v>0</v>
      </c>
      <c r="N24" s="25" t="n">
        <f aca="false">IF(AND(N$4&gt;=$H24,N$4&lt;$H24+$I24),$D24/$I24,0)</f>
        <v>6750</v>
      </c>
      <c r="O24" s="25" t="n">
        <f aca="false">IF(AND(O$4&gt;=$H24,O$4&lt;$H24+$I24),$D24/$I24,0)</f>
        <v>6750</v>
      </c>
      <c r="P24" s="25" t="n">
        <f aca="false">IF(AND(P$4&gt;=$H24,P$4&lt;$H24+$I24),$D24/$I24,0)</f>
        <v>6750</v>
      </c>
      <c r="Q24" s="25" t="n">
        <f aca="false">IF(AND(Q$4&gt;=$H24,Q$4&lt;$H24+$I24),$D24/$I24,0)</f>
        <v>6750</v>
      </c>
      <c r="R24" s="25" t="n">
        <f aca="false">IF(AND(R$4&gt;=$H24,R$4&lt;$H24+$I24),$D24/$I24,0)</f>
        <v>0</v>
      </c>
      <c r="S24" s="25" t="n">
        <f aca="false">IF(AND(S$4&gt;=$H24,S$4&lt;$H24+$I24),$D24/$I24,0)</f>
        <v>0</v>
      </c>
      <c r="T24" s="25" t="n">
        <f aca="false">IF(AND(T$4&gt;=$H24,T$4&lt;$H24+$I24),$D24/$I24,0)</f>
        <v>0</v>
      </c>
    </row>
    <row r="25" customFormat="false" ht="15" hidden="false" customHeight="false" outlineLevel="0" collapsed="false">
      <c r="B25" s="2" t="s">
        <v>306</v>
      </c>
      <c r="C25" s="2" t="s">
        <v>309</v>
      </c>
      <c r="D25" s="14" t="n">
        <v>8800</v>
      </c>
      <c r="E25" s="32" t="n">
        <f aca="false">AfA_Ausbau</f>
        <v>10</v>
      </c>
      <c r="F25" s="25" t="n">
        <f aca="false">IF(E25&gt;0,D25/E25,0)</f>
        <v>880</v>
      </c>
      <c r="G25" s="19" t="n">
        <v>1</v>
      </c>
      <c r="H25" s="19" t="n">
        <v>-4</v>
      </c>
      <c r="I25" s="19" t="n">
        <v>4</v>
      </c>
      <c r="J25" s="3" t="s">
        <v>310</v>
      </c>
      <c r="M25" s="25" t="n">
        <f aca="false">IF(AND(M$4&gt;=$H25,M$4&lt;$H25+$I25),$D25/$I25,0)</f>
        <v>0</v>
      </c>
      <c r="N25" s="25" t="n">
        <f aca="false">IF(AND(N$4&gt;=$H25,N$4&lt;$H25+$I25),$D25/$I25,0)</f>
        <v>2200</v>
      </c>
      <c r="O25" s="25" t="n">
        <f aca="false">IF(AND(O$4&gt;=$H25,O$4&lt;$H25+$I25),$D25/$I25,0)</f>
        <v>2200</v>
      </c>
      <c r="P25" s="25" t="n">
        <f aca="false">IF(AND(P$4&gt;=$H25,P$4&lt;$H25+$I25),$D25/$I25,0)</f>
        <v>2200</v>
      </c>
      <c r="Q25" s="25" t="n">
        <f aca="false">IF(AND(Q$4&gt;=$H25,Q$4&lt;$H25+$I25),$D25/$I25,0)</f>
        <v>2200</v>
      </c>
      <c r="R25" s="25" t="n">
        <f aca="false">IF(AND(R$4&gt;=$H25,R$4&lt;$H25+$I25),$D25/$I25,0)</f>
        <v>0</v>
      </c>
      <c r="S25" s="25" t="n">
        <f aca="false">IF(AND(S$4&gt;=$H25,S$4&lt;$H25+$I25),$D25/$I25,0)</f>
        <v>0</v>
      </c>
      <c r="T25" s="25" t="n">
        <f aca="false">IF(AND(T$4&gt;=$H25,T$4&lt;$H25+$I25),$D25/$I25,0)</f>
        <v>0</v>
      </c>
    </row>
    <row r="26" customFormat="false" ht="15" hidden="false" customHeight="false" outlineLevel="0" collapsed="false">
      <c r="B26" s="2" t="s">
        <v>306</v>
      </c>
      <c r="C26" s="2" t="s">
        <v>311</v>
      </c>
      <c r="D26" s="14" t="n">
        <v>4000</v>
      </c>
      <c r="E26" s="32" t="n">
        <f aca="false">AfA_Ausbau</f>
        <v>10</v>
      </c>
      <c r="F26" s="25" t="n">
        <f aca="false">IF(E26&gt;0,D26/E26,0)</f>
        <v>400</v>
      </c>
      <c r="G26" s="19" t="n">
        <v>1</v>
      </c>
      <c r="H26" s="19" t="n">
        <v>-4</v>
      </c>
      <c r="I26" s="19" t="n">
        <v>4</v>
      </c>
      <c r="J26" s="3" t="s">
        <v>312</v>
      </c>
      <c r="M26" s="25" t="n">
        <f aca="false">IF(AND(M$4&gt;=$H26,M$4&lt;$H26+$I26),$D26/$I26,0)</f>
        <v>0</v>
      </c>
      <c r="N26" s="25" t="n">
        <f aca="false">IF(AND(N$4&gt;=$H26,N$4&lt;$H26+$I26),$D26/$I26,0)</f>
        <v>1000</v>
      </c>
      <c r="O26" s="25" t="n">
        <f aca="false">IF(AND(O$4&gt;=$H26,O$4&lt;$H26+$I26),$D26/$I26,0)</f>
        <v>1000</v>
      </c>
      <c r="P26" s="25" t="n">
        <f aca="false">IF(AND(P$4&gt;=$H26,P$4&lt;$H26+$I26),$D26/$I26,0)</f>
        <v>1000</v>
      </c>
      <c r="Q26" s="25" t="n">
        <f aca="false">IF(AND(Q$4&gt;=$H26,Q$4&lt;$H26+$I26),$D26/$I26,0)</f>
        <v>1000</v>
      </c>
      <c r="R26" s="25" t="n">
        <f aca="false">IF(AND(R$4&gt;=$H26,R$4&lt;$H26+$I26),$D26/$I26,0)</f>
        <v>0</v>
      </c>
      <c r="S26" s="25" t="n">
        <f aca="false">IF(AND(S$4&gt;=$H26,S$4&lt;$H26+$I26),$D26/$I26,0)</f>
        <v>0</v>
      </c>
      <c r="T26" s="25" t="n">
        <f aca="false">IF(AND(T$4&gt;=$H26,T$4&lt;$H26+$I26),$D26/$I26,0)</f>
        <v>0</v>
      </c>
    </row>
    <row r="27" customFormat="false" ht="15" hidden="false" customHeight="false" outlineLevel="0" collapsed="false">
      <c r="B27" s="2" t="s">
        <v>313</v>
      </c>
      <c r="C27" s="2" t="s">
        <v>314</v>
      </c>
      <c r="D27" s="14" t="n">
        <v>106991</v>
      </c>
      <c r="E27" s="32" t="n">
        <f aca="false">AfA_Ausbau</f>
        <v>10</v>
      </c>
      <c r="F27" s="25" t="n">
        <f aca="false">IF(E27&gt;0,D27/E27,0)</f>
        <v>10699.1</v>
      </c>
      <c r="G27" s="19" t="n">
        <v>1</v>
      </c>
      <c r="H27" s="19" t="n">
        <v>-5</v>
      </c>
      <c r="I27" s="19" t="n">
        <v>5</v>
      </c>
      <c r="J27" s="3" t="s">
        <v>315</v>
      </c>
      <c r="M27" s="25" t="n">
        <f aca="false">IF(AND(M$4&gt;=$H27,M$4&lt;$H27+$I27),$D27/$I27,0)</f>
        <v>21398.2</v>
      </c>
      <c r="N27" s="25" t="n">
        <f aca="false">IF(AND(N$4&gt;=$H27,N$4&lt;$H27+$I27),$D27/$I27,0)</f>
        <v>21398.2</v>
      </c>
      <c r="O27" s="25" t="n">
        <f aca="false">IF(AND(O$4&gt;=$H27,O$4&lt;$H27+$I27),$D27/$I27,0)</f>
        <v>21398.2</v>
      </c>
      <c r="P27" s="25" t="n">
        <f aca="false">IF(AND(P$4&gt;=$H27,P$4&lt;$H27+$I27),$D27/$I27,0)</f>
        <v>21398.2</v>
      </c>
      <c r="Q27" s="25" t="n">
        <f aca="false">IF(AND(Q$4&gt;=$H27,Q$4&lt;$H27+$I27),$D27/$I27,0)</f>
        <v>21398.2</v>
      </c>
      <c r="R27" s="25" t="n">
        <f aca="false">IF(AND(R$4&gt;=$H27,R$4&lt;$H27+$I27),$D27/$I27,0)</f>
        <v>0</v>
      </c>
      <c r="S27" s="25" t="n">
        <f aca="false">IF(AND(S$4&gt;=$H27,S$4&lt;$H27+$I27),$D27/$I27,0)</f>
        <v>0</v>
      </c>
      <c r="T27" s="25" t="n">
        <f aca="false">IF(AND(T$4&gt;=$H27,T$4&lt;$H27+$I27),$D27/$I27,0)</f>
        <v>0</v>
      </c>
    </row>
    <row r="28" customFormat="false" ht="15" hidden="false" customHeight="false" outlineLevel="0" collapsed="false">
      <c r="B28" s="2" t="s">
        <v>316</v>
      </c>
      <c r="C28" s="2" t="s">
        <v>317</v>
      </c>
      <c r="D28" s="14" t="n">
        <v>32000</v>
      </c>
      <c r="E28" s="32" t="n">
        <f aca="false">AfA_Sonst</f>
        <v>5</v>
      </c>
      <c r="F28" s="25" t="n">
        <f aca="false">IF(E28&gt;0,D28/E28,0)</f>
        <v>6400</v>
      </c>
      <c r="G28" s="19" t="n">
        <v>1</v>
      </c>
      <c r="H28" s="19" t="n">
        <v>-2</v>
      </c>
      <c r="I28" s="19" t="n">
        <v>1</v>
      </c>
      <c r="J28" s="3" t="s">
        <v>318</v>
      </c>
      <c r="M28" s="25" t="n">
        <f aca="false">IF(AND(M$4&gt;=$H28,M$4&lt;$H28+$I28),$D28/$I28,0)</f>
        <v>0</v>
      </c>
      <c r="N28" s="25" t="n">
        <f aca="false">IF(AND(N$4&gt;=$H28,N$4&lt;$H28+$I28),$D28/$I28,0)</f>
        <v>0</v>
      </c>
      <c r="O28" s="25" t="n">
        <f aca="false">IF(AND(O$4&gt;=$H28,O$4&lt;$H28+$I28),$D28/$I28,0)</f>
        <v>0</v>
      </c>
      <c r="P28" s="25" t="n">
        <f aca="false">IF(AND(P$4&gt;=$H28,P$4&lt;$H28+$I28),$D28/$I28,0)</f>
        <v>32000</v>
      </c>
      <c r="Q28" s="25" t="n">
        <f aca="false">IF(AND(Q$4&gt;=$H28,Q$4&lt;$H28+$I28),$D28/$I28,0)</f>
        <v>0</v>
      </c>
      <c r="R28" s="25" t="n">
        <f aca="false">IF(AND(R$4&gt;=$H28,R$4&lt;$H28+$I28),$D28/$I28,0)</f>
        <v>0</v>
      </c>
      <c r="S28" s="25" t="n">
        <f aca="false">IF(AND(S$4&gt;=$H28,S$4&lt;$H28+$I28),$D28/$I28,0)</f>
        <v>0</v>
      </c>
      <c r="T28" s="25" t="n">
        <f aca="false">IF(AND(T$4&gt;=$H28,T$4&lt;$H28+$I28),$D28/$I28,0)</f>
        <v>0</v>
      </c>
    </row>
    <row r="29" customFormat="false" ht="15" hidden="false" customHeight="false" outlineLevel="0" collapsed="false">
      <c r="B29" s="2" t="s">
        <v>319</v>
      </c>
      <c r="C29" s="2" t="s">
        <v>320</v>
      </c>
      <c r="D29" s="25" t="n">
        <f aca="false">ROUND(Unvorh_Pct*SUM(D5:D28),0)</f>
        <v>165378</v>
      </c>
      <c r="E29" s="32" t="n">
        <f aca="false">AfA_Ausbau</f>
        <v>10</v>
      </c>
      <c r="F29" s="25" t="n">
        <f aca="false">IF(E29&gt;0,D29/E29,0)</f>
        <v>16537.8</v>
      </c>
      <c r="G29" s="19" t="n">
        <v>1</v>
      </c>
      <c r="H29" s="19" t="n">
        <v>-4</v>
      </c>
      <c r="I29" s="19" t="n">
        <v>4</v>
      </c>
      <c r="J29" s="3" t="s">
        <v>321</v>
      </c>
      <c r="M29" s="25" t="n">
        <f aca="false">IF(AND(M$4&gt;=$H29,M$4&lt;$H29+$I29),$D29/$I29,0)</f>
        <v>0</v>
      </c>
      <c r="N29" s="25" t="n">
        <f aca="false">IF(AND(N$4&gt;=$H29,N$4&lt;$H29+$I29),$D29/$I29,0)</f>
        <v>41344.5</v>
      </c>
      <c r="O29" s="25" t="n">
        <f aca="false">IF(AND(O$4&gt;=$H29,O$4&lt;$H29+$I29),$D29/$I29,0)</f>
        <v>41344.5</v>
      </c>
      <c r="P29" s="25" t="n">
        <f aca="false">IF(AND(P$4&gt;=$H29,P$4&lt;$H29+$I29),$D29/$I29,0)</f>
        <v>41344.5</v>
      </c>
      <c r="Q29" s="25" t="n">
        <f aca="false">IF(AND(Q$4&gt;=$H29,Q$4&lt;$H29+$I29),$D29/$I29,0)</f>
        <v>41344.5</v>
      </c>
      <c r="R29" s="25" t="n">
        <f aca="false">IF(AND(R$4&gt;=$H29,R$4&lt;$H29+$I29),$D29/$I29,0)</f>
        <v>0</v>
      </c>
      <c r="S29" s="25" t="n">
        <f aca="false">IF(AND(S$4&gt;=$H29,S$4&lt;$H29+$I29),$D29/$I29,0)</f>
        <v>0</v>
      </c>
      <c r="T29" s="25" t="n">
        <f aca="false">IF(AND(T$4&gt;=$H29,T$4&lt;$H29+$I29),$D29/$I29,0)</f>
        <v>0</v>
      </c>
    </row>
    <row r="30" customFormat="false" ht="15" hidden="false" customHeight="false" outlineLevel="0" collapsed="false">
      <c r="B30" s="2" t="s">
        <v>71</v>
      </c>
      <c r="C30" s="2" t="s">
        <v>322</v>
      </c>
      <c r="D30" s="25" t="n">
        <f aca="false">ROUND(Kaution_Monate*(Miete_kalt+BK+Energie)*Flaeche,0)</f>
        <v>85930</v>
      </c>
      <c r="E30" s="19" t="n">
        <v>0</v>
      </c>
      <c r="F30" s="25" t="n">
        <f aca="false">IF(E30&gt;0,D30/E30,0)</f>
        <v>0</v>
      </c>
      <c r="G30" s="19" t="n">
        <v>0</v>
      </c>
      <c r="H30" s="19" t="n">
        <v>-5</v>
      </c>
      <c r="I30" s="19" t="n">
        <v>1</v>
      </c>
      <c r="J30" s="3" t="s">
        <v>323</v>
      </c>
      <c r="M30" s="25" t="n">
        <f aca="false">IF(AND(M$4&gt;=$H30,M$4&lt;$H30+$I30),$D30/$I30,0)</f>
        <v>85930</v>
      </c>
      <c r="N30" s="25" t="n">
        <f aca="false">IF(AND(N$4&gt;=$H30,N$4&lt;$H30+$I30),$D30/$I30,0)</f>
        <v>0</v>
      </c>
      <c r="O30" s="25" t="n">
        <f aca="false">IF(AND(O$4&gt;=$H30,O$4&lt;$H30+$I30),$D30/$I30,0)</f>
        <v>0</v>
      </c>
      <c r="P30" s="25" t="n">
        <f aca="false">IF(AND(P$4&gt;=$H30,P$4&lt;$H30+$I30),$D30/$I30,0)</f>
        <v>0</v>
      </c>
      <c r="Q30" s="25" t="n">
        <f aca="false">IF(AND(Q$4&gt;=$H30,Q$4&lt;$H30+$I30),$D30/$I30,0)</f>
        <v>0</v>
      </c>
      <c r="R30" s="25" t="n">
        <f aca="false">IF(AND(R$4&gt;=$H30,R$4&lt;$H30+$I30),$D30/$I30,0)</f>
        <v>0</v>
      </c>
      <c r="S30" s="25" t="n">
        <f aca="false">IF(AND(S$4&gt;=$H30,S$4&lt;$H30+$I30),$D30/$I30,0)</f>
        <v>0</v>
      </c>
      <c r="T30" s="25" t="n">
        <f aca="false">IF(AND(T$4&gt;=$H30,T$4&lt;$H30+$I30),$D30/$I30,0)</f>
        <v>0</v>
      </c>
    </row>
    <row r="31" customFormat="false" ht="15" hidden="false" customHeight="false" outlineLevel="0" collapsed="false">
      <c r="B31" s="2" t="s">
        <v>324</v>
      </c>
      <c r="C31" s="2" t="s">
        <v>325</v>
      </c>
      <c r="D31" s="33" t="n">
        <f aca="false">Gruendung</f>
        <v>2500</v>
      </c>
      <c r="E31" s="19" t="n">
        <v>0</v>
      </c>
      <c r="F31" s="25" t="n">
        <f aca="false">IF(E31&gt;0,D31/E31,0)</f>
        <v>0</v>
      </c>
      <c r="G31" s="19" t="n">
        <v>1</v>
      </c>
      <c r="H31" s="19" t="n">
        <v>-5</v>
      </c>
      <c r="I31" s="19" t="n">
        <v>1</v>
      </c>
      <c r="J31" s="3"/>
      <c r="M31" s="25" t="n">
        <f aca="false">IF(AND(M$4&gt;=$H31,M$4&lt;$H31+$I31),$D31/$I31,0)</f>
        <v>2500</v>
      </c>
      <c r="N31" s="25" t="n">
        <f aca="false">IF(AND(N$4&gt;=$H31,N$4&lt;$H31+$I31),$D31/$I31,0)</f>
        <v>0</v>
      </c>
      <c r="O31" s="25" t="n">
        <f aca="false">IF(AND(O$4&gt;=$H31,O$4&lt;$H31+$I31),$D31/$I31,0)</f>
        <v>0</v>
      </c>
      <c r="P31" s="25" t="n">
        <f aca="false">IF(AND(P$4&gt;=$H31,P$4&lt;$H31+$I31),$D31/$I31,0)</f>
        <v>0</v>
      </c>
      <c r="Q31" s="25" t="n">
        <f aca="false">IF(AND(Q$4&gt;=$H31,Q$4&lt;$H31+$I31),$D31/$I31,0)</f>
        <v>0</v>
      </c>
      <c r="R31" s="25" t="n">
        <f aca="false">IF(AND(R$4&gt;=$H31,R$4&lt;$H31+$I31),$D31/$I31,0)</f>
        <v>0</v>
      </c>
      <c r="S31" s="25" t="n">
        <f aca="false">IF(AND(S$4&gt;=$H31,S$4&lt;$H31+$I31),$D31/$I31,0)</f>
        <v>0</v>
      </c>
      <c r="T31" s="25" t="n">
        <f aca="false">IF(AND(T$4&gt;=$H31,T$4&lt;$H31+$I31),$D31/$I31,0)</f>
        <v>0</v>
      </c>
    </row>
    <row r="32" customFormat="false" ht="15" hidden="false" customHeight="false" outlineLevel="0" collapsed="false">
      <c r="B32" s="2" t="s">
        <v>324</v>
      </c>
      <c r="C32" s="2" t="s">
        <v>326</v>
      </c>
      <c r="D32" s="33" t="n">
        <f aca="false">Beratung</f>
        <v>5000</v>
      </c>
      <c r="E32" s="19" t="n">
        <v>0</v>
      </c>
      <c r="F32" s="25" t="n">
        <f aca="false">IF(E32&gt;0,D32/E32,0)</f>
        <v>0</v>
      </c>
      <c r="G32" s="19" t="n">
        <v>1</v>
      </c>
      <c r="H32" s="19" t="n">
        <v>-5</v>
      </c>
      <c r="I32" s="19" t="n">
        <v>1</v>
      </c>
      <c r="J32" s="3"/>
      <c r="M32" s="25" t="n">
        <f aca="false">IF(AND(M$4&gt;=$H32,M$4&lt;$H32+$I32),$D32/$I32,0)</f>
        <v>5000</v>
      </c>
      <c r="N32" s="25" t="n">
        <f aca="false">IF(AND(N$4&gt;=$H32,N$4&lt;$H32+$I32),$D32/$I32,0)</f>
        <v>0</v>
      </c>
      <c r="O32" s="25" t="n">
        <f aca="false">IF(AND(O$4&gt;=$H32,O$4&lt;$H32+$I32),$D32/$I32,0)</f>
        <v>0</v>
      </c>
      <c r="P32" s="25" t="n">
        <f aca="false">IF(AND(P$4&gt;=$H32,P$4&lt;$H32+$I32),$D32/$I32,0)</f>
        <v>0</v>
      </c>
      <c r="Q32" s="25" t="n">
        <f aca="false">IF(AND(Q$4&gt;=$H32,Q$4&lt;$H32+$I32),$D32/$I32,0)</f>
        <v>0</v>
      </c>
      <c r="R32" s="25" t="n">
        <f aca="false">IF(AND(R$4&gt;=$H32,R$4&lt;$H32+$I32),$D32/$I32,0)</f>
        <v>0</v>
      </c>
      <c r="S32" s="25" t="n">
        <f aca="false">IF(AND(S$4&gt;=$H32,S$4&lt;$H32+$I32),$D32/$I32,0)</f>
        <v>0</v>
      </c>
      <c r="T32" s="25" t="n">
        <f aca="false">IF(AND(T$4&gt;=$H32,T$4&lt;$H32+$I32),$D32/$I32,0)</f>
        <v>0</v>
      </c>
    </row>
    <row r="33" customFormat="false" ht="15" hidden="false" customHeight="false" outlineLevel="0" collapsed="false">
      <c r="C33" s="8" t="s">
        <v>327</v>
      </c>
      <c r="D33" s="34" t="n">
        <f aca="false">SUM(D5:D32)</f>
        <v>1912583</v>
      </c>
      <c r="L33" s="8" t="s">
        <v>328</v>
      </c>
      <c r="M33" s="35" t="n">
        <f aca="false">SUM(M5:M32)</f>
        <v>114828.2</v>
      </c>
      <c r="N33" s="35" t="n">
        <f aca="false">SUM(N5:N32)</f>
        <v>285639.7</v>
      </c>
      <c r="O33" s="35" t="n">
        <f aca="false">SUM(O5:O32)</f>
        <v>285639.7</v>
      </c>
      <c r="P33" s="35" t="n">
        <f aca="false">SUM(P5:P32)</f>
        <v>317639.7</v>
      </c>
      <c r="Q33" s="35" t="n">
        <f aca="false">SUM(Q5:Q32)</f>
        <v>908835.7</v>
      </c>
      <c r="R33" s="35" t="n">
        <f aca="false">SUM(R5:R32)</f>
        <v>0</v>
      </c>
      <c r="S33" s="35" t="n">
        <f aca="false">SUM(S5:S32)</f>
        <v>0</v>
      </c>
      <c r="T33" s="35" t="n">
        <f aca="false">SUM(T5:T32)</f>
        <v>0</v>
      </c>
    </row>
    <row r="34" customFormat="false" ht="15" hidden="false" customHeight="false" outlineLevel="0" collapsed="false">
      <c r="C34" s="8" t="s">
        <v>329</v>
      </c>
      <c r="D34" s="33" t="n">
        <f aca="false">Reserve</f>
        <v>710000</v>
      </c>
      <c r="L34" s="8" t="s">
        <v>265</v>
      </c>
      <c r="M34" s="25" t="n">
        <f aca="false">SUMPRODUCT(M5:M32,$G$5:$G$32)*UST</f>
        <v>5490.658</v>
      </c>
      <c r="N34" s="25" t="n">
        <f aca="false">SUMPRODUCT(N5:N32,$G$5:$G$32)*UST</f>
        <v>54271.543</v>
      </c>
      <c r="O34" s="25" t="n">
        <f aca="false">SUMPRODUCT(O5:O32,$G$5:$G$32)*UST</f>
        <v>54271.543</v>
      </c>
      <c r="P34" s="25" t="n">
        <f aca="false">SUMPRODUCT(P5:P32,$G$5:$G$32)*UST</f>
        <v>60351.543</v>
      </c>
      <c r="Q34" s="25" t="n">
        <f aca="false">SUMPRODUCT(Q5:Q32,$G$5:$G$32)*UST</f>
        <v>166555.463</v>
      </c>
      <c r="R34" s="25" t="n">
        <f aca="false">SUMPRODUCT(R5:R32,$G$5:$G$32)*UST</f>
        <v>0</v>
      </c>
      <c r="S34" s="25" t="n">
        <f aca="false">SUMPRODUCT(S5:S32,$G$5:$G$32)*UST</f>
        <v>0</v>
      </c>
      <c r="T34" s="25" t="n">
        <f aca="false">SUMPRODUCT(T5:T32,$G$5:$G$32)*UST</f>
        <v>0</v>
      </c>
    </row>
    <row r="35" customFormat="false" ht="15" hidden="false" customHeight="false" outlineLevel="0" collapsed="false">
      <c r="C35" s="8" t="s">
        <v>330</v>
      </c>
      <c r="D35" s="34" t="n">
        <f aca="false">Inv_Summe+Reserve</f>
        <v>2622583</v>
      </c>
    </row>
    <row r="37" customFormat="false" ht="15" hidden="false" customHeight="false" outlineLevel="0" collapsed="false">
      <c r="C37" s="8" t="s">
        <v>331</v>
      </c>
      <c r="D37" s="25" t="n">
        <f aca="false">SUMIF(B5:B32,"Geräte",D5:D32)</f>
        <v>623196</v>
      </c>
    </row>
    <row r="38" customFormat="false" ht="15" hidden="false" customHeight="false" outlineLevel="0" collapsed="false">
      <c r="C38" s="8" t="s">
        <v>332</v>
      </c>
      <c r="D38" s="25" t="n">
        <f aca="false">SUMIF(B5:B32,"Gründung",D5:D32)</f>
        <v>7500</v>
      </c>
    </row>
    <row r="39" customFormat="false" ht="15" hidden="false" customHeight="false" outlineLevel="0" collapsed="false">
      <c r="C39" s="8" t="s">
        <v>333</v>
      </c>
      <c r="D39" s="25" t="n">
        <f aca="false">SUMPRODUCT(D5:D32,G5:G32)*UST</f>
        <v>340940.75</v>
      </c>
    </row>
    <row r="41" customFormat="false" ht="15" hidden="false" customHeight="false" outlineLevel="0" collapsed="false">
      <c r="C41" s="4" t="s">
        <v>334</v>
      </c>
    </row>
    <row r="42" customFormat="false" ht="15" hidden="false" customHeight="false" outlineLevel="0" collapsed="false">
      <c r="C42" s="2" t="s">
        <v>267</v>
      </c>
      <c r="D42" s="25" t="n">
        <f aca="false">SUMIF($B$5:$B$32,"Geräte",$D$5:$D$32)</f>
        <v>623196</v>
      </c>
    </row>
    <row r="43" customFormat="false" ht="15" hidden="false" customHeight="false" outlineLevel="0" collapsed="false">
      <c r="C43" s="2" t="s">
        <v>293</v>
      </c>
      <c r="D43" s="25" t="n">
        <f aca="false">SUMIF($B$5:$B$32,"Ausbau",$D$5:$D$32)</f>
        <v>851788</v>
      </c>
    </row>
    <row r="44" customFormat="false" ht="15" hidden="false" customHeight="false" outlineLevel="0" collapsed="false">
      <c r="C44" s="2" t="s">
        <v>306</v>
      </c>
      <c r="D44" s="25" t="n">
        <f aca="false">SUMIF($B$5:$B$32,"Sanitär",$D$5:$D$32)</f>
        <v>39800</v>
      </c>
    </row>
    <row r="45" customFormat="false" ht="15" hidden="false" customHeight="false" outlineLevel="0" collapsed="false">
      <c r="C45" s="2" t="s">
        <v>313</v>
      </c>
      <c r="D45" s="25" t="n">
        <f aca="false">SUMIF($B$5:$B$32,"Planung",$D$5:$D$32)</f>
        <v>106991</v>
      </c>
    </row>
    <row r="46" customFormat="false" ht="15" hidden="false" customHeight="false" outlineLevel="0" collapsed="false">
      <c r="C46" s="2" t="s">
        <v>316</v>
      </c>
      <c r="D46" s="25" t="n">
        <f aca="false">SUMIF($B$5:$B$32,"Sonstiges",$D$5:$D$32)</f>
        <v>32000</v>
      </c>
    </row>
    <row r="47" customFormat="false" ht="15" hidden="false" customHeight="false" outlineLevel="0" collapsed="false">
      <c r="C47" s="2" t="s">
        <v>319</v>
      </c>
      <c r="D47" s="25" t="n">
        <f aca="false">SUMIF($B$5:$B$32,"Reserve",$D$5:$D$32)</f>
        <v>165378</v>
      </c>
    </row>
    <row r="48" customFormat="false" ht="15" hidden="false" customHeight="false" outlineLevel="0" collapsed="false">
      <c r="C48" s="2" t="s">
        <v>71</v>
      </c>
      <c r="D48" s="25" t="n">
        <f aca="false">SUMIF($B$5:$B$32,"Kaution",$D$5:$D$32)</f>
        <v>85930</v>
      </c>
    </row>
    <row r="49" customFormat="false" ht="15" hidden="false" customHeight="false" outlineLevel="0" collapsed="false">
      <c r="C49" s="2" t="s">
        <v>324</v>
      </c>
      <c r="D49" s="25" t="n">
        <f aca="false">SUMIF($B$5:$B$32,"Gründung",$D$5:$D$32)</f>
        <v>7500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62" min="3" style="0" width="11"/>
  </cols>
  <sheetData>
    <row r="1" customFormat="false" ht="17.35" hidden="false" customHeight="false" outlineLevel="0" collapsed="false">
      <c r="B1" s="1" t="s">
        <v>335</v>
      </c>
    </row>
    <row r="2" customFormat="false" ht="15" hidden="false" customHeight="false" outlineLevel="0" collapsed="false">
      <c r="B2" s="3" t="s">
        <v>336</v>
      </c>
    </row>
    <row r="4" customFormat="false" ht="15" hidden="false" customHeight="false" outlineLevel="0" collapsed="false">
      <c r="B4" s="30" t="s">
        <v>211</v>
      </c>
      <c r="C4" s="31" t="n">
        <v>1</v>
      </c>
      <c r="D4" s="31" t="n">
        <v>2</v>
      </c>
      <c r="E4" s="31" t="n">
        <v>3</v>
      </c>
      <c r="F4" s="31" t="n">
        <v>4</v>
      </c>
      <c r="G4" s="31" t="n">
        <v>5</v>
      </c>
      <c r="H4" s="31" t="n">
        <v>6</v>
      </c>
      <c r="I4" s="31" t="n">
        <v>7</v>
      </c>
      <c r="J4" s="31" t="n">
        <v>8</v>
      </c>
      <c r="K4" s="31" t="n">
        <v>9</v>
      </c>
      <c r="L4" s="31" t="n">
        <v>10</v>
      </c>
      <c r="M4" s="31" t="n">
        <v>11</v>
      </c>
      <c r="N4" s="31" t="n">
        <v>12</v>
      </c>
      <c r="O4" s="31" t="n">
        <v>13</v>
      </c>
      <c r="P4" s="31" t="n">
        <v>14</v>
      </c>
      <c r="Q4" s="31" t="n">
        <v>15</v>
      </c>
      <c r="R4" s="31" t="n">
        <v>16</v>
      </c>
      <c r="S4" s="31" t="n">
        <v>17</v>
      </c>
      <c r="T4" s="31" t="n">
        <v>18</v>
      </c>
      <c r="U4" s="31" t="n">
        <v>19</v>
      </c>
      <c r="V4" s="31" t="n">
        <v>20</v>
      </c>
      <c r="W4" s="31" t="n">
        <v>21</v>
      </c>
      <c r="X4" s="31" t="n">
        <v>22</v>
      </c>
      <c r="Y4" s="31" t="n">
        <v>23</v>
      </c>
      <c r="Z4" s="31" t="n">
        <v>24</v>
      </c>
      <c r="AA4" s="31" t="n">
        <v>25</v>
      </c>
      <c r="AB4" s="31" t="n">
        <v>26</v>
      </c>
      <c r="AC4" s="31" t="n">
        <v>27</v>
      </c>
      <c r="AD4" s="31" t="n">
        <v>28</v>
      </c>
      <c r="AE4" s="31" t="n">
        <v>29</v>
      </c>
      <c r="AF4" s="31" t="n">
        <v>30</v>
      </c>
      <c r="AG4" s="31" t="n">
        <v>31</v>
      </c>
      <c r="AH4" s="31" t="n">
        <v>32</v>
      </c>
      <c r="AI4" s="31" t="n">
        <v>33</v>
      </c>
      <c r="AJ4" s="31" t="n">
        <v>34</v>
      </c>
      <c r="AK4" s="31" t="n">
        <v>35</v>
      </c>
      <c r="AL4" s="31" t="n">
        <v>36</v>
      </c>
      <c r="AM4" s="31" t="n">
        <v>37</v>
      </c>
      <c r="AN4" s="31" t="n">
        <v>38</v>
      </c>
      <c r="AO4" s="31" t="n">
        <v>39</v>
      </c>
      <c r="AP4" s="31" t="n">
        <v>40</v>
      </c>
      <c r="AQ4" s="31" t="n">
        <v>41</v>
      </c>
      <c r="AR4" s="31" t="n">
        <v>42</v>
      </c>
      <c r="AS4" s="31" t="n">
        <v>43</v>
      </c>
      <c r="AT4" s="31" t="n">
        <v>44</v>
      </c>
      <c r="AU4" s="31" t="n">
        <v>45</v>
      </c>
      <c r="AV4" s="31" t="n">
        <v>46</v>
      </c>
      <c r="AW4" s="31" t="n">
        <v>47</v>
      </c>
      <c r="AX4" s="31" t="n">
        <v>48</v>
      </c>
      <c r="AY4" s="31" t="n">
        <v>49</v>
      </c>
      <c r="AZ4" s="31" t="n">
        <v>50</v>
      </c>
      <c r="BA4" s="31" t="n">
        <v>51</v>
      </c>
      <c r="BB4" s="31" t="n">
        <v>52</v>
      </c>
      <c r="BC4" s="31" t="n">
        <v>53</v>
      </c>
      <c r="BD4" s="31" t="n">
        <v>54</v>
      </c>
      <c r="BE4" s="31" t="n">
        <v>55</v>
      </c>
      <c r="BF4" s="31" t="n">
        <v>56</v>
      </c>
      <c r="BG4" s="31" t="n">
        <v>57</v>
      </c>
      <c r="BH4" s="31" t="n">
        <v>58</v>
      </c>
      <c r="BI4" s="31" t="n">
        <v>59</v>
      </c>
      <c r="BJ4" s="31" t="n">
        <v>60</v>
      </c>
    </row>
    <row r="5" customFormat="false" ht="15" hidden="false" customHeight="false" outlineLevel="0" collapsed="false">
      <c r="B5" s="8" t="s">
        <v>337</v>
      </c>
      <c r="C5" s="36" t="n">
        <f aca="false">IF(C4&lt;1,1,INT((C4-1)/12)+1)</f>
        <v>1</v>
      </c>
      <c r="D5" s="36" t="n">
        <f aca="false">IF(D4&lt;1,1,INT((D4-1)/12)+1)</f>
        <v>1</v>
      </c>
      <c r="E5" s="36" t="n">
        <f aca="false">IF(E4&lt;1,1,INT((E4-1)/12)+1)</f>
        <v>1</v>
      </c>
      <c r="F5" s="36" t="n">
        <f aca="false">IF(F4&lt;1,1,INT((F4-1)/12)+1)</f>
        <v>1</v>
      </c>
      <c r="G5" s="36" t="n">
        <f aca="false">IF(G4&lt;1,1,INT((G4-1)/12)+1)</f>
        <v>1</v>
      </c>
      <c r="H5" s="36" t="n">
        <f aca="false">IF(H4&lt;1,1,INT((H4-1)/12)+1)</f>
        <v>1</v>
      </c>
      <c r="I5" s="36" t="n">
        <f aca="false">IF(I4&lt;1,1,INT((I4-1)/12)+1)</f>
        <v>1</v>
      </c>
      <c r="J5" s="36" t="n">
        <f aca="false">IF(J4&lt;1,1,INT((J4-1)/12)+1)</f>
        <v>1</v>
      </c>
      <c r="K5" s="36" t="n">
        <f aca="false">IF(K4&lt;1,1,INT((K4-1)/12)+1)</f>
        <v>1</v>
      </c>
      <c r="L5" s="36" t="n">
        <f aca="false">IF(L4&lt;1,1,INT((L4-1)/12)+1)</f>
        <v>1</v>
      </c>
      <c r="M5" s="36" t="n">
        <f aca="false">IF(M4&lt;1,1,INT((M4-1)/12)+1)</f>
        <v>1</v>
      </c>
      <c r="N5" s="36" t="n">
        <f aca="false">IF(N4&lt;1,1,INT((N4-1)/12)+1)</f>
        <v>1</v>
      </c>
      <c r="O5" s="36" t="n">
        <f aca="false">IF(O4&lt;1,1,INT((O4-1)/12)+1)</f>
        <v>2</v>
      </c>
      <c r="P5" s="36" t="n">
        <f aca="false">IF(P4&lt;1,1,INT((P4-1)/12)+1)</f>
        <v>2</v>
      </c>
      <c r="Q5" s="36" t="n">
        <f aca="false">IF(Q4&lt;1,1,INT((Q4-1)/12)+1)</f>
        <v>2</v>
      </c>
      <c r="R5" s="36" t="n">
        <f aca="false">IF(R4&lt;1,1,INT((R4-1)/12)+1)</f>
        <v>2</v>
      </c>
      <c r="S5" s="36" t="n">
        <f aca="false">IF(S4&lt;1,1,INT((S4-1)/12)+1)</f>
        <v>2</v>
      </c>
      <c r="T5" s="36" t="n">
        <f aca="false">IF(T4&lt;1,1,INT((T4-1)/12)+1)</f>
        <v>2</v>
      </c>
      <c r="U5" s="36" t="n">
        <f aca="false">IF(U4&lt;1,1,INT((U4-1)/12)+1)</f>
        <v>2</v>
      </c>
      <c r="V5" s="36" t="n">
        <f aca="false">IF(V4&lt;1,1,INT((V4-1)/12)+1)</f>
        <v>2</v>
      </c>
      <c r="W5" s="36" t="n">
        <f aca="false">IF(W4&lt;1,1,INT((W4-1)/12)+1)</f>
        <v>2</v>
      </c>
      <c r="X5" s="36" t="n">
        <f aca="false">IF(X4&lt;1,1,INT((X4-1)/12)+1)</f>
        <v>2</v>
      </c>
      <c r="Y5" s="36" t="n">
        <f aca="false">IF(Y4&lt;1,1,INT((Y4-1)/12)+1)</f>
        <v>2</v>
      </c>
      <c r="Z5" s="36" t="n">
        <f aca="false">IF(Z4&lt;1,1,INT((Z4-1)/12)+1)</f>
        <v>2</v>
      </c>
      <c r="AA5" s="36" t="n">
        <f aca="false">IF(AA4&lt;1,1,INT((AA4-1)/12)+1)</f>
        <v>3</v>
      </c>
      <c r="AB5" s="36" t="n">
        <f aca="false">IF(AB4&lt;1,1,INT((AB4-1)/12)+1)</f>
        <v>3</v>
      </c>
      <c r="AC5" s="36" t="n">
        <f aca="false">IF(AC4&lt;1,1,INT((AC4-1)/12)+1)</f>
        <v>3</v>
      </c>
      <c r="AD5" s="36" t="n">
        <f aca="false">IF(AD4&lt;1,1,INT((AD4-1)/12)+1)</f>
        <v>3</v>
      </c>
      <c r="AE5" s="36" t="n">
        <f aca="false">IF(AE4&lt;1,1,INT((AE4-1)/12)+1)</f>
        <v>3</v>
      </c>
      <c r="AF5" s="36" t="n">
        <f aca="false">IF(AF4&lt;1,1,INT((AF4-1)/12)+1)</f>
        <v>3</v>
      </c>
      <c r="AG5" s="36" t="n">
        <f aca="false">IF(AG4&lt;1,1,INT((AG4-1)/12)+1)</f>
        <v>3</v>
      </c>
      <c r="AH5" s="36" t="n">
        <f aca="false">IF(AH4&lt;1,1,INT((AH4-1)/12)+1)</f>
        <v>3</v>
      </c>
      <c r="AI5" s="36" t="n">
        <f aca="false">IF(AI4&lt;1,1,INT((AI4-1)/12)+1)</f>
        <v>3</v>
      </c>
      <c r="AJ5" s="36" t="n">
        <f aca="false">IF(AJ4&lt;1,1,INT((AJ4-1)/12)+1)</f>
        <v>3</v>
      </c>
      <c r="AK5" s="36" t="n">
        <f aca="false">IF(AK4&lt;1,1,INT((AK4-1)/12)+1)</f>
        <v>3</v>
      </c>
      <c r="AL5" s="36" t="n">
        <f aca="false">IF(AL4&lt;1,1,INT((AL4-1)/12)+1)</f>
        <v>3</v>
      </c>
      <c r="AM5" s="36" t="n">
        <f aca="false">IF(AM4&lt;1,1,INT((AM4-1)/12)+1)</f>
        <v>4</v>
      </c>
      <c r="AN5" s="36" t="n">
        <f aca="false">IF(AN4&lt;1,1,INT((AN4-1)/12)+1)</f>
        <v>4</v>
      </c>
      <c r="AO5" s="36" t="n">
        <f aca="false">IF(AO4&lt;1,1,INT((AO4-1)/12)+1)</f>
        <v>4</v>
      </c>
      <c r="AP5" s="36" t="n">
        <f aca="false">IF(AP4&lt;1,1,INT((AP4-1)/12)+1)</f>
        <v>4</v>
      </c>
      <c r="AQ5" s="36" t="n">
        <f aca="false">IF(AQ4&lt;1,1,INT((AQ4-1)/12)+1)</f>
        <v>4</v>
      </c>
      <c r="AR5" s="36" t="n">
        <f aca="false">IF(AR4&lt;1,1,INT((AR4-1)/12)+1)</f>
        <v>4</v>
      </c>
      <c r="AS5" s="36" t="n">
        <f aca="false">IF(AS4&lt;1,1,INT((AS4-1)/12)+1)</f>
        <v>4</v>
      </c>
      <c r="AT5" s="36" t="n">
        <f aca="false">IF(AT4&lt;1,1,INT((AT4-1)/12)+1)</f>
        <v>4</v>
      </c>
      <c r="AU5" s="36" t="n">
        <f aca="false">IF(AU4&lt;1,1,INT((AU4-1)/12)+1)</f>
        <v>4</v>
      </c>
      <c r="AV5" s="36" t="n">
        <f aca="false">IF(AV4&lt;1,1,INT((AV4-1)/12)+1)</f>
        <v>4</v>
      </c>
      <c r="AW5" s="36" t="n">
        <f aca="false">IF(AW4&lt;1,1,INT((AW4-1)/12)+1)</f>
        <v>4</v>
      </c>
      <c r="AX5" s="36" t="n">
        <f aca="false">IF(AX4&lt;1,1,INT((AX4-1)/12)+1)</f>
        <v>4</v>
      </c>
      <c r="AY5" s="36" t="n">
        <f aca="false">IF(AY4&lt;1,1,INT((AY4-1)/12)+1)</f>
        <v>5</v>
      </c>
      <c r="AZ5" s="36" t="n">
        <f aca="false">IF(AZ4&lt;1,1,INT((AZ4-1)/12)+1)</f>
        <v>5</v>
      </c>
      <c r="BA5" s="36" t="n">
        <f aca="false">IF(BA4&lt;1,1,INT((BA4-1)/12)+1)</f>
        <v>5</v>
      </c>
      <c r="BB5" s="36" t="n">
        <f aca="false">IF(BB4&lt;1,1,INT((BB4-1)/12)+1)</f>
        <v>5</v>
      </c>
      <c r="BC5" s="36" t="n">
        <f aca="false">IF(BC4&lt;1,1,INT((BC4-1)/12)+1)</f>
        <v>5</v>
      </c>
      <c r="BD5" s="36" t="n">
        <f aca="false">IF(BD4&lt;1,1,INT((BD4-1)/12)+1)</f>
        <v>5</v>
      </c>
      <c r="BE5" s="36" t="n">
        <f aca="false">IF(BE4&lt;1,1,INT((BE4-1)/12)+1)</f>
        <v>5</v>
      </c>
      <c r="BF5" s="36" t="n">
        <f aca="false">IF(BF4&lt;1,1,INT((BF4-1)/12)+1)</f>
        <v>5</v>
      </c>
      <c r="BG5" s="36" t="n">
        <f aca="false">IF(BG4&lt;1,1,INT((BG4-1)/12)+1)</f>
        <v>5</v>
      </c>
      <c r="BH5" s="36" t="n">
        <f aca="false">IF(BH4&lt;1,1,INT((BH4-1)/12)+1)</f>
        <v>5</v>
      </c>
      <c r="BI5" s="36" t="n">
        <f aca="false">IF(BI4&lt;1,1,INT((BI4-1)/12)+1)</f>
        <v>5</v>
      </c>
      <c r="BJ5" s="36" t="n">
        <f aca="false">IF(BJ4&lt;1,1,INT((BJ4-1)/12)+1)</f>
        <v>5</v>
      </c>
    </row>
    <row r="6" customFormat="false" ht="15" hidden="false" customHeight="false" outlineLevel="0" collapsed="false">
      <c r="B6" s="8" t="s">
        <v>338</v>
      </c>
      <c r="C6" s="36" t="n">
        <v>1</v>
      </c>
      <c r="D6" s="36" t="n">
        <v>2</v>
      </c>
      <c r="E6" s="36" t="n">
        <v>3</v>
      </c>
      <c r="F6" s="36" t="n">
        <v>4</v>
      </c>
      <c r="G6" s="36" t="n">
        <v>5</v>
      </c>
      <c r="H6" s="36" t="n">
        <v>6</v>
      </c>
      <c r="I6" s="36" t="n">
        <v>7</v>
      </c>
      <c r="J6" s="36" t="n">
        <v>8</v>
      </c>
      <c r="K6" s="36" t="n">
        <v>9</v>
      </c>
      <c r="L6" s="36" t="n">
        <v>10</v>
      </c>
      <c r="M6" s="36" t="n">
        <v>11</v>
      </c>
      <c r="N6" s="36" t="n">
        <v>12</v>
      </c>
      <c r="O6" s="36" t="n">
        <v>13</v>
      </c>
      <c r="P6" s="36" t="n">
        <v>14</v>
      </c>
      <c r="Q6" s="36" t="n">
        <v>15</v>
      </c>
      <c r="R6" s="36" t="n">
        <v>16</v>
      </c>
      <c r="S6" s="36" t="n">
        <v>17</v>
      </c>
      <c r="T6" s="36" t="n">
        <v>18</v>
      </c>
      <c r="U6" s="36" t="n">
        <v>19</v>
      </c>
      <c r="V6" s="36" t="n">
        <v>20</v>
      </c>
      <c r="W6" s="36" t="n">
        <v>21</v>
      </c>
      <c r="X6" s="36" t="n">
        <v>22</v>
      </c>
      <c r="Y6" s="36" t="n">
        <v>23</v>
      </c>
      <c r="Z6" s="36" t="n">
        <v>24</v>
      </c>
      <c r="AA6" s="36" t="n">
        <v>25</v>
      </c>
      <c r="AB6" s="36" t="n">
        <v>26</v>
      </c>
      <c r="AC6" s="36" t="n">
        <v>27</v>
      </c>
      <c r="AD6" s="36" t="n">
        <v>28</v>
      </c>
      <c r="AE6" s="36" t="n">
        <v>29</v>
      </c>
      <c r="AF6" s="36" t="n">
        <v>30</v>
      </c>
      <c r="AG6" s="36" t="n">
        <v>31</v>
      </c>
      <c r="AH6" s="36" t="n">
        <v>32</v>
      </c>
      <c r="AI6" s="36" t="n">
        <v>33</v>
      </c>
      <c r="AJ6" s="36" t="n">
        <v>34</v>
      </c>
      <c r="AK6" s="36" t="n">
        <v>35</v>
      </c>
      <c r="AL6" s="36" t="n">
        <v>36</v>
      </c>
      <c r="AM6" s="36" t="n">
        <v>37</v>
      </c>
      <c r="AN6" s="36" t="n">
        <v>38</v>
      </c>
      <c r="AO6" s="36" t="n">
        <v>39</v>
      </c>
      <c r="AP6" s="36" t="n">
        <v>40</v>
      </c>
      <c r="AQ6" s="36" t="n">
        <v>41</v>
      </c>
      <c r="AR6" s="36" t="n">
        <v>42</v>
      </c>
      <c r="AS6" s="36" t="n">
        <v>43</v>
      </c>
      <c r="AT6" s="36" t="n">
        <v>44</v>
      </c>
      <c r="AU6" s="36" t="n">
        <v>45</v>
      </c>
      <c r="AV6" s="36" t="n">
        <v>46</v>
      </c>
      <c r="AW6" s="36" t="n">
        <v>47</v>
      </c>
      <c r="AX6" s="36" t="n">
        <v>48</v>
      </c>
      <c r="AY6" s="36" t="n">
        <v>49</v>
      </c>
      <c r="AZ6" s="36" t="n">
        <v>50</v>
      </c>
      <c r="BA6" s="36" t="n">
        <v>51</v>
      </c>
      <c r="BB6" s="36" t="n">
        <v>52</v>
      </c>
      <c r="BC6" s="36" t="n">
        <v>53</v>
      </c>
      <c r="BD6" s="36" t="n">
        <v>54</v>
      </c>
      <c r="BE6" s="36" t="n">
        <v>55</v>
      </c>
      <c r="BF6" s="36" t="n">
        <v>56</v>
      </c>
      <c r="BG6" s="36" t="n">
        <v>57</v>
      </c>
      <c r="BH6" s="36" t="n">
        <v>58</v>
      </c>
      <c r="BI6" s="36" t="n">
        <v>59</v>
      </c>
      <c r="BJ6" s="36" t="n">
        <v>60</v>
      </c>
    </row>
    <row r="7" customFormat="false" ht="15" hidden="false" customHeight="false" outlineLevel="0" collapsed="false">
      <c r="B7" s="2" t="s">
        <v>339</v>
      </c>
      <c r="C7" s="25" t="n">
        <f aca="false">Vorverkauf*Neu_Faktor</f>
        <v>350</v>
      </c>
      <c r="D7" s="25" t="n">
        <f aca="false">C10</f>
        <v>482.3</v>
      </c>
      <c r="E7" s="25" t="n">
        <f aca="false">D10</f>
        <v>611.6894</v>
      </c>
      <c r="F7" s="25" t="n">
        <f aca="false">E10</f>
        <v>738.2322332</v>
      </c>
      <c r="G7" s="25" t="n">
        <f aca="false">F10</f>
        <v>821.9911240696</v>
      </c>
      <c r="H7" s="25" t="n">
        <f aca="false">G10</f>
        <v>903.907319340069</v>
      </c>
      <c r="I7" s="25" t="n">
        <f aca="false">H10</f>
        <v>984.021358314587</v>
      </c>
      <c r="J7" s="25" t="n">
        <f aca="false">I10</f>
        <v>1062.37288843167</v>
      </c>
      <c r="K7" s="25" t="n">
        <f aca="false">J10</f>
        <v>1139.00068488617</v>
      </c>
      <c r="L7" s="25" t="n">
        <f aca="false">K10</f>
        <v>1213.94266981867</v>
      </c>
      <c r="M7" s="25" t="n">
        <f aca="false">L10</f>
        <v>1287.23593108266</v>
      </c>
      <c r="N7" s="25" t="n">
        <f aca="false">M10</f>
        <v>1358.91674059884</v>
      </c>
      <c r="O7" s="25" t="n">
        <f aca="false">N10</f>
        <v>1429.02057230567</v>
      </c>
      <c r="P7" s="25" t="n">
        <f aca="false">O10</f>
        <v>1487.58211971495</v>
      </c>
      <c r="Q7" s="25" t="n">
        <f aca="false">P10</f>
        <v>1544.85531308122</v>
      </c>
      <c r="R7" s="25" t="n">
        <f aca="false">Q10</f>
        <v>1600.86849619343</v>
      </c>
      <c r="S7" s="25" t="n">
        <f aca="false">R10</f>
        <v>1655.64938927717</v>
      </c>
      <c r="T7" s="25" t="n">
        <f aca="false">S10</f>
        <v>1709.22510271308</v>
      </c>
      <c r="U7" s="25" t="n">
        <f aca="false">T10</f>
        <v>1761.62215045339</v>
      </c>
      <c r="V7" s="25" t="n">
        <f aca="false">U10</f>
        <v>1812.86646314341</v>
      </c>
      <c r="W7" s="25" t="n">
        <f aca="false">V10</f>
        <v>1862.98340095426</v>
      </c>
      <c r="X7" s="25" t="n">
        <f aca="false">W10</f>
        <v>1911.99776613327</v>
      </c>
      <c r="Y7" s="25" t="n">
        <f aca="false">X10</f>
        <v>1959.93381527833</v>
      </c>
      <c r="Z7" s="25" t="n">
        <f aca="false">Y10</f>
        <v>2006.81527134221</v>
      </c>
      <c r="AA7" s="25" t="n">
        <f aca="false">Z10</f>
        <v>2052.66533537268</v>
      </c>
      <c r="AB7" s="25" t="n">
        <f aca="false">AA10</f>
        <v>2087.50669799448</v>
      </c>
      <c r="AC7" s="25" t="n">
        <f aca="false">AB10</f>
        <v>2121.5815506386</v>
      </c>
      <c r="AD7" s="25" t="n">
        <f aca="false">AC10</f>
        <v>2154.90675652456</v>
      </c>
      <c r="AE7" s="25" t="n">
        <f aca="false">AD10</f>
        <v>2187.49880788101</v>
      </c>
      <c r="AF7" s="25" t="n">
        <f aca="false">AE10</f>
        <v>2200</v>
      </c>
      <c r="AG7" s="25" t="n">
        <f aca="false">AF10</f>
        <v>2200</v>
      </c>
      <c r="AH7" s="25" t="n">
        <f aca="false">AG10</f>
        <v>2200</v>
      </c>
      <c r="AI7" s="25" t="n">
        <f aca="false">AH10</f>
        <v>2200</v>
      </c>
      <c r="AJ7" s="25" t="n">
        <f aca="false">AI10</f>
        <v>2200</v>
      </c>
      <c r="AK7" s="25" t="n">
        <f aca="false">AJ10</f>
        <v>2200</v>
      </c>
      <c r="AL7" s="25" t="n">
        <f aca="false">AK10</f>
        <v>2200</v>
      </c>
      <c r="AM7" s="25" t="n">
        <f aca="false">AL10</f>
        <v>2200</v>
      </c>
      <c r="AN7" s="25" t="n">
        <f aca="false">AM10</f>
        <v>2200</v>
      </c>
      <c r="AO7" s="25" t="n">
        <f aca="false">AN10</f>
        <v>2200</v>
      </c>
      <c r="AP7" s="25" t="n">
        <f aca="false">AO10</f>
        <v>2200</v>
      </c>
      <c r="AQ7" s="25" t="n">
        <f aca="false">AP10</f>
        <v>2200</v>
      </c>
      <c r="AR7" s="25" t="n">
        <f aca="false">AQ10</f>
        <v>2200</v>
      </c>
      <c r="AS7" s="25" t="n">
        <f aca="false">AR10</f>
        <v>2200</v>
      </c>
      <c r="AT7" s="25" t="n">
        <f aca="false">AS10</f>
        <v>2200</v>
      </c>
      <c r="AU7" s="25" t="n">
        <f aca="false">AT10</f>
        <v>2200</v>
      </c>
      <c r="AV7" s="25" t="n">
        <f aca="false">AU10</f>
        <v>2200</v>
      </c>
      <c r="AW7" s="25" t="n">
        <f aca="false">AV10</f>
        <v>2200</v>
      </c>
      <c r="AX7" s="25" t="n">
        <f aca="false">AW10</f>
        <v>2200</v>
      </c>
      <c r="AY7" s="25" t="n">
        <f aca="false">AX10</f>
        <v>2200</v>
      </c>
      <c r="AZ7" s="25" t="n">
        <f aca="false">AY10</f>
        <v>2200</v>
      </c>
      <c r="BA7" s="25" t="n">
        <f aca="false">AZ10</f>
        <v>2200</v>
      </c>
      <c r="BB7" s="25" t="n">
        <f aca="false">BA10</f>
        <v>2200</v>
      </c>
      <c r="BC7" s="25" t="n">
        <f aca="false">BB10</f>
        <v>2200</v>
      </c>
      <c r="BD7" s="25" t="n">
        <f aca="false">BC10</f>
        <v>2200</v>
      </c>
      <c r="BE7" s="25" t="n">
        <f aca="false">BD10</f>
        <v>2200</v>
      </c>
      <c r="BF7" s="25" t="n">
        <f aca="false">BE10</f>
        <v>2200</v>
      </c>
      <c r="BG7" s="25" t="n">
        <f aca="false">BF10</f>
        <v>2200</v>
      </c>
      <c r="BH7" s="25" t="n">
        <f aca="false">BG10</f>
        <v>2200</v>
      </c>
      <c r="BI7" s="25" t="n">
        <f aca="false">BH10</f>
        <v>2200</v>
      </c>
      <c r="BJ7" s="25" t="n">
        <f aca="false">BI10</f>
        <v>2200</v>
      </c>
    </row>
    <row r="8" customFormat="false" ht="15" hidden="false" customHeight="false" outlineLevel="0" collapsed="false">
      <c r="B8" s="2" t="s">
        <v>340</v>
      </c>
      <c r="C8" s="25" t="n">
        <f aca="false">Neu_Faktor*IF(C$4&lt;=3,Neu_1,IF(C$4&lt;=12,Neu_2,IF(C$4&lt;=24,Neu_3,IF(C$4&lt;=36,Neu_4,Neu_5))))</f>
        <v>140</v>
      </c>
      <c r="D8" s="25" t="n">
        <f aca="false">Neu_Faktor*IF(D$4&lt;=3,Neu_1,IF(D$4&lt;=12,Neu_2,IF(D$4&lt;=24,Neu_3,IF(D$4&lt;=36,Neu_4,Neu_5))))</f>
        <v>140</v>
      </c>
      <c r="E8" s="25" t="n">
        <f aca="false">Neu_Faktor*IF(E$4&lt;=3,Neu_1,IF(E$4&lt;=12,Neu_2,IF(E$4&lt;=24,Neu_3,IF(E$4&lt;=36,Neu_4,Neu_5))))</f>
        <v>140</v>
      </c>
      <c r="F8" s="25" t="n">
        <f aca="false">Neu_Faktor*IF(F$4&lt;=3,Neu_1,IF(F$4&lt;=12,Neu_2,IF(F$4&lt;=24,Neu_3,IF(F$4&lt;=36,Neu_4,Neu_5))))</f>
        <v>100</v>
      </c>
      <c r="G8" s="25" t="n">
        <f aca="false">Neu_Faktor*IF(G$4&lt;=3,Neu_1,IF(G$4&lt;=12,Neu_2,IF(G$4&lt;=24,Neu_3,IF(G$4&lt;=36,Neu_4,Neu_5))))</f>
        <v>100</v>
      </c>
      <c r="H8" s="25" t="n">
        <f aca="false">Neu_Faktor*IF(H$4&lt;=3,Neu_1,IF(H$4&lt;=12,Neu_2,IF(H$4&lt;=24,Neu_3,IF(H$4&lt;=36,Neu_4,Neu_5))))</f>
        <v>100</v>
      </c>
      <c r="I8" s="25" t="n">
        <f aca="false">Neu_Faktor*IF(I$4&lt;=3,Neu_1,IF(I$4&lt;=12,Neu_2,IF(I$4&lt;=24,Neu_3,IF(I$4&lt;=36,Neu_4,Neu_5))))</f>
        <v>100</v>
      </c>
      <c r="J8" s="25" t="n">
        <f aca="false">Neu_Faktor*IF(J$4&lt;=3,Neu_1,IF(J$4&lt;=12,Neu_2,IF(J$4&lt;=24,Neu_3,IF(J$4&lt;=36,Neu_4,Neu_5))))</f>
        <v>100</v>
      </c>
      <c r="K8" s="25" t="n">
        <f aca="false">Neu_Faktor*IF(K$4&lt;=3,Neu_1,IF(K$4&lt;=12,Neu_2,IF(K$4&lt;=24,Neu_3,IF(K$4&lt;=36,Neu_4,Neu_5))))</f>
        <v>100</v>
      </c>
      <c r="L8" s="25" t="n">
        <f aca="false">Neu_Faktor*IF(L$4&lt;=3,Neu_1,IF(L$4&lt;=12,Neu_2,IF(L$4&lt;=24,Neu_3,IF(L$4&lt;=36,Neu_4,Neu_5))))</f>
        <v>100</v>
      </c>
      <c r="M8" s="25" t="n">
        <f aca="false">Neu_Faktor*IF(M$4&lt;=3,Neu_1,IF(M$4&lt;=12,Neu_2,IF(M$4&lt;=24,Neu_3,IF(M$4&lt;=36,Neu_4,Neu_5))))</f>
        <v>100</v>
      </c>
      <c r="N8" s="25" t="n">
        <f aca="false">Neu_Faktor*IF(N$4&lt;=3,Neu_1,IF(N$4&lt;=12,Neu_2,IF(N$4&lt;=24,Neu_3,IF(N$4&lt;=36,Neu_4,Neu_5))))</f>
        <v>100</v>
      </c>
      <c r="O8" s="25" t="n">
        <f aca="false">Neu_Faktor*IF(O$4&lt;=3,Neu_1,IF(O$4&lt;=12,Neu_2,IF(O$4&lt;=24,Neu_3,IF(O$4&lt;=36,Neu_4,Neu_5))))</f>
        <v>90</v>
      </c>
      <c r="P8" s="25" t="n">
        <f aca="false">Neu_Faktor*IF(P$4&lt;=3,Neu_1,IF(P$4&lt;=12,Neu_2,IF(P$4&lt;=24,Neu_3,IF(P$4&lt;=36,Neu_4,Neu_5))))</f>
        <v>90</v>
      </c>
      <c r="Q8" s="25" t="n">
        <f aca="false">Neu_Faktor*IF(Q$4&lt;=3,Neu_1,IF(Q$4&lt;=12,Neu_2,IF(Q$4&lt;=24,Neu_3,IF(Q$4&lt;=36,Neu_4,Neu_5))))</f>
        <v>90</v>
      </c>
      <c r="R8" s="25" t="n">
        <f aca="false">Neu_Faktor*IF(R$4&lt;=3,Neu_1,IF(R$4&lt;=12,Neu_2,IF(R$4&lt;=24,Neu_3,IF(R$4&lt;=36,Neu_4,Neu_5))))</f>
        <v>90</v>
      </c>
      <c r="S8" s="25" t="n">
        <f aca="false">Neu_Faktor*IF(S$4&lt;=3,Neu_1,IF(S$4&lt;=12,Neu_2,IF(S$4&lt;=24,Neu_3,IF(S$4&lt;=36,Neu_4,Neu_5))))</f>
        <v>90</v>
      </c>
      <c r="T8" s="25" t="n">
        <f aca="false">Neu_Faktor*IF(T$4&lt;=3,Neu_1,IF(T$4&lt;=12,Neu_2,IF(T$4&lt;=24,Neu_3,IF(T$4&lt;=36,Neu_4,Neu_5))))</f>
        <v>90</v>
      </c>
      <c r="U8" s="25" t="n">
        <f aca="false">Neu_Faktor*IF(U$4&lt;=3,Neu_1,IF(U$4&lt;=12,Neu_2,IF(U$4&lt;=24,Neu_3,IF(U$4&lt;=36,Neu_4,Neu_5))))</f>
        <v>90</v>
      </c>
      <c r="V8" s="25" t="n">
        <f aca="false">Neu_Faktor*IF(V$4&lt;=3,Neu_1,IF(V$4&lt;=12,Neu_2,IF(V$4&lt;=24,Neu_3,IF(V$4&lt;=36,Neu_4,Neu_5))))</f>
        <v>90</v>
      </c>
      <c r="W8" s="25" t="n">
        <f aca="false">Neu_Faktor*IF(W$4&lt;=3,Neu_1,IF(W$4&lt;=12,Neu_2,IF(W$4&lt;=24,Neu_3,IF(W$4&lt;=36,Neu_4,Neu_5))))</f>
        <v>90</v>
      </c>
      <c r="X8" s="25" t="n">
        <f aca="false">Neu_Faktor*IF(X$4&lt;=3,Neu_1,IF(X$4&lt;=12,Neu_2,IF(X$4&lt;=24,Neu_3,IF(X$4&lt;=36,Neu_4,Neu_5))))</f>
        <v>90</v>
      </c>
      <c r="Y8" s="25" t="n">
        <f aca="false">Neu_Faktor*IF(Y$4&lt;=3,Neu_1,IF(Y$4&lt;=12,Neu_2,IF(Y$4&lt;=24,Neu_3,IF(Y$4&lt;=36,Neu_4,Neu_5))))</f>
        <v>90</v>
      </c>
      <c r="Z8" s="25" t="n">
        <f aca="false">Neu_Faktor*IF(Z$4&lt;=3,Neu_1,IF(Z$4&lt;=12,Neu_2,IF(Z$4&lt;=24,Neu_3,IF(Z$4&lt;=36,Neu_4,Neu_5))))</f>
        <v>90</v>
      </c>
      <c r="AA8" s="25" t="n">
        <f aca="false">Neu_Faktor*IF(AA$4&lt;=3,Neu_1,IF(AA$4&lt;=12,Neu_2,IF(AA$4&lt;=24,Neu_3,IF(AA$4&lt;=36,Neu_4,Neu_5))))</f>
        <v>80</v>
      </c>
      <c r="AB8" s="25" t="n">
        <f aca="false">Neu_Faktor*IF(AB$4&lt;=3,Neu_1,IF(AB$4&lt;=12,Neu_2,IF(AB$4&lt;=24,Neu_3,IF(AB$4&lt;=36,Neu_4,Neu_5))))</f>
        <v>80</v>
      </c>
      <c r="AC8" s="25" t="n">
        <f aca="false">Neu_Faktor*IF(AC$4&lt;=3,Neu_1,IF(AC$4&lt;=12,Neu_2,IF(AC$4&lt;=24,Neu_3,IF(AC$4&lt;=36,Neu_4,Neu_5))))</f>
        <v>80</v>
      </c>
      <c r="AD8" s="25" t="n">
        <f aca="false">Neu_Faktor*IF(AD$4&lt;=3,Neu_1,IF(AD$4&lt;=12,Neu_2,IF(AD$4&lt;=24,Neu_3,IF(AD$4&lt;=36,Neu_4,Neu_5))))</f>
        <v>80</v>
      </c>
      <c r="AE8" s="25" t="n">
        <f aca="false">Neu_Faktor*IF(AE$4&lt;=3,Neu_1,IF(AE$4&lt;=12,Neu_2,IF(AE$4&lt;=24,Neu_3,IF(AE$4&lt;=36,Neu_4,Neu_5))))</f>
        <v>80</v>
      </c>
      <c r="AF8" s="25" t="n">
        <f aca="false">Neu_Faktor*IF(AF$4&lt;=3,Neu_1,IF(AF$4&lt;=12,Neu_2,IF(AF$4&lt;=24,Neu_3,IF(AF$4&lt;=36,Neu_4,Neu_5))))</f>
        <v>80</v>
      </c>
      <c r="AG8" s="25" t="n">
        <f aca="false">Neu_Faktor*IF(AG$4&lt;=3,Neu_1,IF(AG$4&lt;=12,Neu_2,IF(AG$4&lt;=24,Neu_3,IF(AG$4&lt;=36,Neu_4,Neu_5))))</f>
        <v>80</v>
      </c>
      <c r="AH8" s="25" t="n">
        <f aca="false">Neu_Faktor*IF(AH$4&lt;=3,Neu_1,IF(AH$4&lt;=12,Neu_2,IF(AH$4&lt;=24,Neu_3,IF(AH$4&lt;=36,Neu_4,Neu_5))))</f>
        <v>80</v>
      </c>
      <c r="AI8" s="25" t="n">
        <f aca="false">Neu_Faktor*IF(AI$4&lt;=3,Neu_1,IF(AI$4&lt;=12,Neu_2,IF(AI$4&lt;=24,Neu_3,IF(AI$4&lt;=36,Neu_4,Neu_5))))</f>
        <v>80</v>
      </c>
      <c r="AJ8" s="25" t="n">
        <f aca="false">Neu_Faktor*IF(AJ$4&lt;=3,Neu_1,IF(AJ$4&lt;=12,Neu_2,IF(AJ$4&lt;=24,Neu_3,IF(AJ$4&lt;=36,Neu_4,Neu_5))))</f>
        <v>80</v>
      </c>
      <c r="AK8" s="25" t="n">
        <f aca="false">Neu_Faktor*IF(AK$4&lt;=3,Neu_1,IF(AK$4&lt;=12,Neu_2,IF(AK$4&lt;=24,Neu_3,IF(AK$4&lt;=36,Neu_4,Neu_5))))</f>
        <v>80</v>
      </c>
      <c r="AL8" s="25" t="n">
        <f aca="false">Neu_Faktor*IF(AL$4&lt;=3,Neu_1,IF(AL$4&lt;=12,Neu_2,IF(AL$4&lt;=24,Neu_3,IF(AL$4&lt;=36,Neu_4,Neu_5))))</f>
        <v>80</v>
      </c>
      <c r="AM8" s="25" t="n">
        <f aca="false">Neu_Faktor*IF(AM$4&lt;=3,Neu_1,IF(AM$4&lt;=12,Neu_2,IF(AM$4&lt;=24,Neu_3,IF(AM$4&lt;=36,Neu_4,Neu_5))))</f>
        <v>75</v>
      </c>
      <c r="AN8" s="25" t="n">
        <f aca="false">Neu_Faktor*IF(AN$4&lt;=3,Neu_1,IF(AN$4&lt;=12,Neu_2,IF(AN$4&lt;=24,Neu_3,IF(AN$4&lt;=36,Neu_4,Neu_5))))</f>
        <v>75</v>
      </c>
      <c r="AO8" s="25" t="n">
        <f aca="false">Neu_Faktor*IF(AO$4&lt;=3,Neu_1,IF(AO$4&lt;=12,Neu_2,IF(AO$4&lt;=24,Neu_3,IF(AO$4&lt;=36,Neu_4,Neu_5))))</f>
        <v>75</v>
      </c>
      <c r="AP8" s="25" t="n">
        <f aca="false">Neu_Faktor*IF(AP$4&lt;=3,Neu_1,IF(AP$4&lt;=12,Neu_2,IF(AP$4&lt;=24,Neu_3,IF(AP$4&lt;=36,Neu_4,Neu_5))))</f>
        <v>75</v>
      </c>
      <c r="AQ8" s="25" t="n">
        <f aca="false">Neu_Faktor*IF(AQ$4&lt;=3,Neu_1,IF(AQ$4&lt;=12,Neu_2,IF(AQ$4&lt;=24,Neu_3,IF(AQ$4&lt;=36,Neu_4,Neu_5))))</f>
        <v>75</v>
      </c>
      <c r="AR8" s="25" t="n">
        <f aca="false">Neu_Faktor*IF(AR$4&lt;=3,Neu_1,IF(AR$4&lt;=12,Neu_2,IF(AR$4&lt;=24,Neu_3,IF(AR$4&lt;=36,Neu_4,Neu_5))))</f>
        <v>75</v>
      </c>
      <c r="AS8" s="25" t="n">
        <f aca="false">Neu_Faktor*IF(AS$4&lt;=3,Neu_1,IF(AS$4&lt;=12,Neu_2,IF(AS$4&lt;=24,Neu_3,IF(AS$4&lt;=36,Neu_4,Neu_5))))</f>
        <v>75</v>
      </c>
      <c r="AT8" s="25" t="n">
        <f aca="false">Neu_Faktor*IF(AT$4&lt;=3,Neu_1,IF(AT$4&lt;=12,Neu_2,IF(AT$4&lt;=24,Neu_3,IF(AT$4&lt;=36,Neu_4,Neu_5))))</f>
        <v>75</v>
      </c>
      <c r="AU8" s="25" t="n">
        <f aca="false">Neu_Faktor*IF(AU$4&lt;=3,Neu_1,IF(AU$4&lt;=12,Neu_2,IF(AU$4&lt;=24,Neu_3,IF(AU$4&lt;=36,Neu_4,Neu_5))))</f>
        <v>75</v>
      </c>
      <c r="AV8" s="25" t="n">
        <f aca="false">Neu_Faktor*IF(AV$4&lt;=3,Neu_1,IF(AV$4&lt;=12,Neu_2,IF(AV$4&lt;=24,Neu_3,IF(AV$4&lt;=36,Neu_4,Neu_5))))</f>
        <v>75</v>
      </c>
      <c r="AW8" s="25" t="n">
        <f aca="false">Neu_Faktor*IF(AW$4&lt;=3,Neu_1,IF(AW$4&lt;=12,Neu_2,IF(AW$4&lt;=24,Neu_3,IF(AW$4&lt;=36,Neu_4,Neu_5))))</f>
        <v>75</v>
      </c>
      <c r="AX8" s="25" t="n">
        <f aca="false">Neu_Faktor*IF(AX$4&lt;=3,Neu_1,IF(AX$4&lt;=12,Neu_2,IF(AX$4&lt;=24,Neu_3,IF(AX$4&lt;=36,Neu_4,Neu_5))))</f>
        <v>75</v>
      </c>
      <c r="AY8" s="25" t="n">
        <f aca="false">Neu_Faktor*IF(AY$4&lt;=3,Neu_1,IF(AY$4&lt;=12,Neu_2,IF(AY$4&lt;=24,Neu_3,IF(AY$4&lt;=36,Neu_4,Neu_5))))</f>
        <v>75</v>
      </c>
      <c r="AZ8" s="25" t="n">
        <f aca="false">Neu_Faktor*IF(AZ$4&lt;=3,Neu_1,IF(AZ$4&lt;=12,Neu_2,IF(AZ$4&lt;=24,Neu_3,IF(AZ$4&lt;=36,Neu_4,Neu_5))))</f>
        <v>75</v>
      </c>
      <c r="BA8" s="25" t="n">
        <f aca="false">Neu_Faktor*IF(BA$4&lt;=3,Neu_1,IF(BA$4&lt;=12,Neu_2,IF(BA$4&lt;=24,Neu_3,IF(BA$4&lt;=36,Neu_4,Neu_5))))</f>
        <v>75</v>
      </c>
      <c r="BB8" s="25" t="n">
        <f aca="false">Neu_Faktor*IF(BB$4&lt;=3,Neu_1,IF(BB$4&lt;=12,Neu_2,IF(BB$4&lt;=24,Neu_3,IF(BB$4&lt;=36,Neu_4,Neu_5))))</f>
        <v>75</v>
      </c>
      <c r="BC8" s="25" t="n">
        <f aca="false">Neu_Faktor*IF(BC$4&lt;=3,Neu_1,IF(BC$4&lt;=12,Neu_2,IF(BC$4&lt;=24,Neu_3,IF(BC$4&lt;=36,Neu_4,Neu_5))))</f>
        <v>75</v>
      </c>
      <c r="BD8" s="25" t="n">
        <f aca="false">Neu_Faktor*IF(BD$4&lt;=3,Neu_1,IF(BD$4&lt;=12,Neu_2,IF(BD$4&lt;=24,Neu_3,IF(BD$4&lt;=36,Neu_4,Neu_5))))</f>
        <v>75</v>
      </c>
      <c r="BE8" s="25" t="n">
        <f aca="false">Neu_Faktor*IF(BE$4&lt;=3,Neu_1,IF(BE$4&lt;=12,Neu_2,IF(BE$4&lt;=24,Neu_3,IF(BE$4&lt;=36,Neu_4,Neu_5))))</f>
        <v>75</v>
      </c>
      <c r="BF8" s="25" t="n">
        <f aca="false">Neu_Faktor*IF(BF$4&lt;=3,Neu_1,IF(BF$4&lt;=12,Neu_2,IF(BF$4&lt;=24,Neu_3,IF(BF$4&lt;=36,Neu_4,Neu_5))))</f>
        <v>75</v>
      </c>
      <c r="BG8" s="25" t="n">
        <f aca="false">Neu_Faktor*IF(BG$4&lt;=3,Neu_1,IF(BG$4&lt;=12,Neu_2,IF(BG$4&lt;=24,Neu_3,IF(BG$4&lt;=36,Neu_4,Neu_5))))</f>
        <v>75</v>
      </c>
      <c r="BH8" s="25" t="n">
        <f aca="false">Neu_Faktor*IF(BH$4&lt;=3,Neu_1,IF(BH$4&lt;=12,Neu_2,IF(BH$4&lt;=24,Neu_3,IF(BH$4&lt;=36,Neu_4,Neu_5))))</f>
        <v>75</v>
      </c>
      <c r="BI8" s="25" t="n">
        <f aca="false">Neu_Faktor*IF(BI$4&lt;=3,Neu_1,IF(BI$4&lt;=12,Neu_2,IF(BI$4&lt;=24,Neu_3,IF(BI$4&lt;=36,Neu_4,Neu_5))))</f>
        <v>75</v>
      </c>
      <c r="BJ8" s="25" t="n">
        <f aca="false">Neu_Faktor*IF(BJ$4&lt;=3,Neu_1,IF(BJ$4&lt;=12,Neu_2,IF(BJ$4&lt;=24,Neu_3,IF(BJ$4&lt;=36,Neu_4,Neu_5))))</f>
        <v>75</v>
      </c>
    </row>
    <row r="9" customFormat="false" ht="15" hidden="false" customHeight="false" outlineLevel="0" collapsed="false">
      <c r="B9" s="2" t="s">
        <v>341</v>
      </c>
      <c r="C9" s="25" t="n">
        <f aca="false">C7*Churn</f>
        <v>7.7</v>
      </c>
      <c r="D9" s="25" t="n">
        <f aca="false">D7*Churn</f>
        <v>10.6106</v>
      </c>
      <c r="E9" s="25" t="n">
        <f aca="false">E7*Churn</f>
        <v>13.4571668</v>
      </c>
      <c r="F9" s="25" t="n">
        <f aca="false">F7*Churn</f>
        <v>16.2411091304</v>
      </c>
      <c r="G9" s="25" t="n">
        <f aca="false">G7*Churn</f>
        <v>18.0838047295312</v>
      </c>
      <c r="H9" s="25" t="n">
        <f aca="false">H7*Churn</f>
        <v>19.8859610254815</v>
      </c>
      <c r="I9" s="25" t="n">
        <f aca="false">I7*Churn</f>
        <v>21.6484698829209</v>
      </c>
      <c r="J9" s="25" t="n">
        <f aca="false">J7*Churn</f>
        <v>23.3722035454967</v>
      </c>
      <c r="K9" s="25" t="n">
        <f aca="false">K7*Churn</f>
        <v>25.0580150674957</v>
      </c>
      <c r="L9" s="25" t="n">
        <f aca="false">L7*Churn</f>
        <v>26.7067387360108</v>
      </c>
      <c r="M9" s="25" t="n">
        <f aca="false">M7*Churn</f>
        <v>28.3191904838186</v>
      </c>
      <c r="N9" s="25" t="n">
        <f aca="false">N7*Churn</f>
        <v>29.8961682931746</v>
      </c>
      <c r="O9" s="25" t="n">
        <f aca="false">O7*Churn</f>
        <v>31.4384525907247</v>
      </c>
      <c r="P9" s="25" t="n">
        <f aca="false">P7*Churn</f>
        <v>32.7268066337288</v>
      </c>
      <c r="Q9" s="25" t="n">
        <f aca="false">Q7*Churn</f>
        <v>33.9868168877868</v>
      </c>
      <c r="R9" s="25" t="n">
        <f aca="false">R7*Churn</f>
        <v>35.2191069162555</v>
      </c>
      <c r="S9" s="25" t="n">
        <f aca="false">S7*Churn</f>
        <v>36.4242865640978</v>
      </c>
      <c r="T9" s="25" t="n">
        <f aca="false">T7*Churn</f>
        <v>37.6029522596877</v>
      </c>
      <c r="U9" s="25" t="n">
        <f aca="false">U7*Churn</f>
        <v>38.7556873099746</v>
      </c>
      <c r="V9" s="25" t="n">
        <f aca="false">V7*Churn</f>
        <v>39.8830621891551</v>
      </c>
      <c r="W9" s="25" t="n">
        <f aca="false">W7*Churn</f>
        <v>40.9856348209937</v>
      </c>
      <c r="X9" s="25" t="n">
        <f aca="false">X7*Churn</f>
        <v>42.0639508549318</v>
      </c>
      <c r="Y9" s="25" t="n">
        <f aca="false">Y7*Churn</f>
        <v>43.1185439361233</v>
      </c>
      <c r="Z9" s="25" t="n">
        <f aca="false">Z7*Churn</f>
        <v>44.1499359695286</v>
      </c>
      <c r="AA9" s="25" t="n">
        <f aca="false">AA7*Churn</f>
        <v>45.158637378199</v>
      </c>
      <c r="AB9" s="25" t="n">
        <f aca="false">AB7*Churn</f>
        <v>45.9251473558786</v>
      </c>
      <c r="AC9" s="25" t="n">
        <f aca="false">AC7*Churn</f>
        <v>46.6747941140493</v>
      </c>
      <c r="AD9" s="25" t="n">
        <f aca="false">AD7*Churn</f>
        <v>47.4079486435402</v>
      </c>
      <c r="AE9" s="25" t="n">
        <f aca="false">AE7*Churn</f>
        <v>48.1249737733823</v>
      </c>
      <c r="AF9" s="25" t="n">
        <f aca="false">AF7*Churn</f>
        <v>48.4</v>
      </c>
      <c r="AG9" s="25" t="n">
        <f aca="false">AG7*Churn</f>
        <v>48.4</v>
      </c>
      <c r="AH9" s="25" t="n">
        <f aca="false">AH7*Churn</f>
        <v>48.4</v>
      </c>
      <c r="AI9" s="25" t="n">
        <f aca="false">AI7*Churn</f>
        <v>48.4</v>
      </c>
      <c r="AJ9" s="25" t="n">
        <f aca="false">AJ7*Churn</f>
        <v>48.4</v>
      </c>
      <c r="AK9" s="25" t="n">
        <f aca="false">AK7*Churn</f>
        <v>48.4</v>
      </c>
      <c r="AL9" s="25" t="n">
        <f aca="false">AL7*Churn</f>
        <v>48.4</v>
      </c>
      <c r="AM9" s="25" t="n">
        <f aca="false">AM7*Churn</f>
        <v>48.4</v>
      </c>
      <c r="AN9" s="25" t="n">
        <f aca="false">AN7*Churn</f>
        <v>48.4</v>
      </c>
      <c r="AO9" s="25" t="n">
        <f aca="false">AO7*Churn</f>
        <v>48.4</v>
      </c>
      <c r="AP9" s="25" t="n">
        <f aca="false">AP7*Churn</f>
        <v>48.4</v>
      </c>
      <c r="AQ9" s="25" t="n">
        <f aca="false">AQ7*Churn</f>
        <v>48.4</v>
      </c>
      <c r="AR9" s="25" t="n">
        <f aca="false">AR7*Churn</f>
        <v>48.4</v>
      </c>
      <c r="AS9" s="25" t="n">
        <f aca="false">AS7*Churn</f>
        <v>48.4</v>
      </c>
      <c r="AT9" s="25" t="n">
        <f aca="false">AT7*Churn</f>
        <v>48.4</v>
      </c>
      <c r="AU9" s="25" t="n">
        <f aca="false">AU7*Churn</f>
        <v>48.4</v>
      </c>
      <c r="AV9" s="25" t="n">
        <f aca="false">AV7*Churn</f>
        <v>48.4</v>
      </c>
      <c r="AW9" s="25" t="n">
        <f aca="false">AW7*Churn</f>
        <v>48.4</v>
      </c>
      <c r="AX9" s="25" t="n">
        <f aca="false">AX7*Churn</f>
        <v>48.4</v>
      </c>
      <c r="AY9" s="25" t="n">
        <f aca="false">AY7*Churn</f>
        <v>48.4</v>
      </c>
      <c r="AZ9" s="25" t="n">
        <f aca="false">AZ7*Churn</f>
        <v>48.4</v>
      </c>
      <c r="BA9" s="25" t="n">
        <f aca="false">BA7*Churn</f>
        <v>48.4</v>
      </c>
      <c r="BB9" s="25" t="n">
        <f aca="false">BB7*Churn</f>
        <v>48.4</v>
      </c>
      <c r="BC9" s="25" t="n">
        <f aca="false">BC7*Churn</f>
        <v>48.4</v>
      </c>
      <c r="BD9" s="25" t="n">
        <f aca="false">BD7*Churn</f>
        <v>48.4</v>
      </c>
      <c r="BE9" s="25" t="n">
        <f aca="false">BE7*Churn</f>
        <v>48.4</v>
      </c>
      <c r="BF9" s="25" t="n">
        <f aca="false">BF7*Churn</f>
        <v>48.4</v>
      </c>
      <c r="BG9" s="25" t="n">
        <f aca="false">BG7*Churn</f>
        <v>48.4</v>
      </c>
      <c r="BH9" s="25" t="n">
        <f aca="false">BH7*Churn</f>
        <v>48.4</v>
      </c>
      <c r="BI9" s="25" t="n">
        <f aca="false">BI7*Churn</f>
        <v>48.4</v>
      </c>
      <c r="BJ9" s="25" t="n">
        <f aca="false">BJ7*Churn</f>
        <v>48.4</v>
      </c>
    </row>
    <row r="10" customFormat="false" ht="15" hidden="false" customHeight="false" outlineLevel="0" collapsed="false">
      <c r="B10" s="8" t="s">
        <v>342</v>
      </c>
      <c r="C10" s="35" t="n">
        <f aca="false">MIN(Kapazitaet_Max,C7+C8-C9)</f>
        <v>482.3</v>
      </c>
      <c r="D10" s="35" t="n">
        <f aca="false">MIN(Kapazitaet_Max,D7+D8-D9)</f>
        <v>611.6894</v>
      </c>
      <c r="E10" s="35" t="n">
        <f aca="false">MIN(Kapazitaet_Max,E7+E8-E9)</f>
        <v>738.2322332</v>
      </c>
      <c r="F10" s="35" t="n">
        <f aca="false">MIN(Kapazitaet_Max,F7+F8-F9)</f>
        <v>821.9911240696</v>
      </c>
      <c r="G10" s="35" t="n">
        <f aca="false">MIN(Kapazitaet_Max,G7+G8-G9)</f>
        <v>903.907319340069</v>
      </c>
      <c r="H10" s="35" t="n">
        <f aca="false">MIN(Kapazitaet_Max,H7+H8-H9)</f>
        <v>984.021358314587</v>
      </c>
      <c r="I10" s="35" t="n">
        <f aca="false">MIN(Kapazitaet_Max,I7+I8-I9)</f>
        <v>1062.37288843167</v>
      </c>
      <c r="J10" s="35" t="n">
        <f aca="false">MIN(Kapazitaet_Max,J7+J8-J9)</f>
        <v>1139.00068488617</v>
      </c>
      <c r="K10" s="35" t="n">
        <f aca="false">MIN(Kapazitaet_Max,K7+K8-K9)</f>
        <v>1213.94266981867</v>
      </c>
      <c r="L10" s="35" t="n">
        <f aca="false">MIN(Kapazitaet_Max,L7+L8-L9)</f>
        <v>1287.23593108266</v>
      </c>
      <c r="M10" s="35" t="n">
        <f aca="false">MIN(Kapazitaet_Max,M7+M8-M9)</f>
        <v>1358.91674059884</v>
      </c>
      <c r="N10" s="35" t="n">
        <f aca="false">MIN(Kapazitaet_Max,N7+N8-N9)</f>
        <v>1429.02057230567</v>
      </c>
      <c r="O10" s="35" t="n">
        <f aca="false">MIN(Kapazitaet_Max,O7+O8-O9)</f>
        <v>1487.58211971495</v>
      </c>
      <c r="P10" s="35" t="n">
        <f aca="false">MIN(Kapazitaet_Max,P7+P8-P9)</f>
        <v>1544.85531308122</v>
      </c>
      <c r="Q10" s="35" t="n">
        <f aca="false">MIN(Kapazitaet_Max,Q7+Q8-Q9)</f>
        <v>1600.86849619343</v>
      </c>
      <c r="R10" s="35" t="n">
        <f aca="false">MIN(Kapazitaet_Max,R7+R8-R9)</f>
        <v>1655.64938927717</v>
      </c>
      <c r="S10" s="35" t="n">
        <f aca="false">MIN(Kapazitaet_Max,S7+S8-S9)</f>
        <v>1709.22510271308</v>
      </c>
      <c r="T10" s="35" t="n">
        <f aca="false">MIN(Kapazitaet_Max,T7+T8-T9)</f>
        <v>1761.62215045339</v>
      </c>
      <c r="U10" s="35" t="n">
        <f aca="false">MIN(Kapazitaet_Max,U7+U8-U9)</f>
        <v>1812.86646314341</v>
      </c>
      <c r="V10" s="35" t="n">
        <f aca="false">MIN(Kapazitaet_Max,V7+V8-V9)</f>
        <v>1862.98340095426</v>
      </c>
      <c r="W10" s="35" t="n">
        <f aca="false">MIN(Kapazitaet_Max,W7+W8-W9)</f>
        <v>1911.99776613327</v>
      </c>
      <c r="X10" s="35" t="n">
        <f aca="false">MIN(Kapazitaet_Max,X7+X8-X9)</f>
        <v>1959.93381527833</v>
      </c>
      <c r="Y10" s="35" t="n">
        <f aca="false">MIN(Kapazitaet_Max,Y7+Y8-Y9)</f>
        <v>2006.81527134221</v>
      </c>
      <c r="Z10" s="35" t="n">
        <f aca="false">MIN(Kapazitaet_Max,Z7+Z8-Z9)</f>
        <v>2052.66533537268</v>
      </c>
      <c r="AA10" s="35" t="n">
        <f aca="false">MIN(Kapazitaet_Max,AA7+AA8-AA9)</f>
        <v>2087.50669799448</v>
      </c>
      <c r="AB10" s="35" t="n">
        <f aca="false">MIN(Kapazitaet_Max,AB7+AB8-AB9)</f>
        <v>2121.5815506386</v>
      </c>
      <c r="AC10" s="35" t="n">
        <f aca="false">MIN(Kapazitaet_Max,AC7+AC8-AC9)</f>
        <v>2154.90675652456</v>
      </c>
      <c r="AD10" s="35" t="n">
        <f aca="false">MIN(Kapazitaet_Max,AD7+AD8-AD9)</f>
        <v>2187.49880788101</v>
      </c>
      <c r="AE10" s="35" t="n">
        <f aca="false">MIN(Kapazitaet_Max,AE7+AE8-AE9)</f>
        <v>2200</v>
      </c>
      <c r="AF10" s="35" t="n">
        <f aca="false">MIN(Kapazitaet_Max,AF7+AF8-AF9)</f>
        <v>2200</v>
      </c>
      <c r="AG10" s="35" t="n">
        <f aca="false">MIN(Kapazitaet_Max,AG7+AG8-AG9)</f>
        <v>2200</v>
      </c>
      <c r="AH10" s="35" t="n">
        <f aca="false">MIN(Kapazitaet_Max,AH7+AH8-AH9)</f>
        <v>2200</v>
      </c>
      <c r="AI10" s="35" t="n">
        <f aca="false">MIN(Kapazitaet_Max,AI7+AI8-AI9)</f>
        <v>2200</v>
      </c>
      <c r="AJ10" s="35" t="n">
        <f aca="false">MIN(Kapazitaet_Max,AJ7+AJ8-AJ9)</f>
        <v>2200</v>
      </c>
      <c r="AK10" s="35" t="n">
        <f aca="false">MIN(Kapazitaet_Max,AK7+AK8-AK9)</f>
        <v>2200</v>
      </c>
      <c r="AL10" s="35" t="n">
        <f aca="false">MIN(Kapazitaet_Max,AL7+AL8-AL9)</f>
        <v>2200</v>
      </c>
      <c r="AM10" s="35" t="n">
        <f aca="false">MIN(Kapazitaet_Max,AM7+AM8-AM9)</f>
        <v>2200</v>
      </c>
      <c r="AN10" s="35" t="n">
        <f aca="false">MIN(Kapazitaet_Max,AN7+AN8-AN9)</f>
        <v>2200</v>
      </c>
      <c r="AO10" s="35" t="n">
        <f aca="false">MIN(Kapazitaet_Max,AO7+AO8-AO9)</f>
        <v>2200</v>
      </c>
      <c r="AP10" s="35" t="n">
        <f aca="false">MIN(Kapazitaet_Max,AP7+AP8-AP9)</f>
        <v>2200</v>
      </c>
      <c r="AQ10" s="35" t="n">
        <f aca="false">MIN(Kapazitaet_Max,AQ7+AQ8-AQ9)</f>
        <v>2200</v>
      </c>
      <c r="AR10" s="35" t="n">
        <f aca="false">MIN(Kapazitaet_Max,AR7+AR8-AR9)</f>
        <v>2200</v>
      </c>
      <c r="AS10" s="35" t="n">
        <f aca="false">MIN(Kapazitaet_Max,AS7+AS8-AS9)</f>
        <v>2200</v>
      </c>
      <c r="AT10" s="35" t="n">
        <f aca="false">MIN(Kapazitaet_Max,AT7+AT8-AT9)</f>
        <v>2200</v>
      </c>
      <c r="AU10" s="35" t="n">
        <f aca="false">MIN(Kapazitaet_Max,AU7+AU8-AU9)</f>
        <v>2200</v>
      </c>
      <c r="AV10" s="35" t="n">
        <f aca="false">MIN(Kapazitaet_Max,AV7+AV8-AV9)</f>
        <v>2200</v>
      </c>
      <c r="AW10" s="35" t="n">
        <f aca="false">MIN(Kapazitaet_Max,AW7+AW8-AW9)</f>
        <v>2200</v>
      </c>
      <c r="AX10" s="35" t="n">
        <f aca="false">MIN(Kapazitaet_Max,AX7+AX8-AX9)</f>
        <v>2200</v>
      </c>
      <c r="AY10" s="35" t="n">
        <f aca="false">MIN(Kapazitaet_Max,AY7+AY8-AY9)</f>
        <v>2200</v>
      </c>
      <c r="AZ10" s="35" t="n">
        <f aca="false">MIN(Kapazitaet_Max,AZ7+AZ8-AZ9)</f>
        <v>2200</v>
      </c>
      <c r="BA10" s="35" t="n">
        <f aca="false">MIN(Kapazitaet_Max,BA7+BA8-BA9)</f>
        <v>2200</v>
      </c>
      <c r="BB10" s="35" t="n">
        <f aca="false">MIN(Kapazitaet_Max,BB7+BB8-BB9)</f>
        <v>2200</v>
      </c>
      <c r="BC10" s="35" t="n">
        <f aca="false">MIN(Kapazitaet_Max,BC7+BC8-BC9)</f>
        <v>2200</v>
      </c>
      <c r="BD10" s="35" t="n">
        <f aca="false">MIN(Kapazitaet_Max,BD7+BD8-BD9)</f>
        <v>2200</v>
      </c>
      <c r="BE10" s="35" t="n">
        <f aca="false">MIN(Kapazitaet_Max,BE7+BE8-BE9)</f>
        <v>2200</v>
      </c>
      <c r="BF10" s="35" t="n">
        <f aca="false">MIN(Kapazitaet_Max,BF7+BF8-BF9)</f>
        <v>2200</v>
      </c>
      <c r="BG10" s="35" t="n">
        <f aca="false">MIN(Kapazitaet_Max,BG7+BG8-BG9)</f>
        <v>2200</v>
      </c>
      <c r="BH10" s="35" t="n">
        <f aca="false">MIN(Kapazitaet_Max,BH7+BH8-BH9)</f>
        <v>2200</v>
      </c>
      <c r="BI10" s="35" t="n">
        <f aca="false">MIN(Kapazitaet_Max,BI7+BI8-BI9)</f>
        <v>2200</v>
      </c>
      <c r="BJ10" s="35" t="n">
        <f aca="false">MIN(Kapazitaet_Max,BJ7+BJ8-BJ9)</f>
        <v>2200</v>
      </c>
    </row>
    <row r="11" customFormat="false" ht="15" hidden="false" customHeight="false" outlineLevel="0" collapsed="false">
      <c r="B11" s="2" t="s">
        <v>343</v>
      </c>
      <c r="C11" s="25" t="n">
        <f aca="false">(C7+C10)/2</f>
        <v>416.15</v>
      </c>
      <c r="D11" s="25" t="n">
        <f aca="false">(D7+D10)/2</f>
        <v>546.9947</v>
      </c>
      <c r="E11" s="25" t="n">
        <f aca="false">(E7+E10)/2</f>
        <v>674.9608166</v>
      </c>
      <c r="F11" s="25" t="n">
        <f aca="false">(F7+F10)/2</f>
        <v>780.1116786348</v>
      </c>
      <c r="G11" s="25" t="n">
        <f aca="false">(G7+G10)/2</f>
        <v>862.949221704834</v>
      </c>
      <c r="H11" s="25" t="n">
        <f aca="false">(H7+H10)/2</f>
        <v>943.964338827328</v>
      </c>
      <c r="I11" s="25" t="n">
        <f aca="false">(I7+I10)/2</f>
        <v>1023.19712337313</v>
      </c>
      <c r="J11" s="25" t="n">
        <f aca="false">(J7+J10)/2</f>
        <v>1100.68678665892</v>
      </c>
      <c r="K11" s="25" t="n">
        <f aca="false">(K7+K10)/2</f>
        <v>1176.47167735242</v>
      </c>
      <c r="L11" s="25" t="n">
        <f aca="false">(L7+L10)/2</f>
        <v>1250.58930045067</v>
      </c>
      <c r="M11" s="25" t="n">
        <f aca="false">(M7+M10)/2</f>
        <v>1323.07633584075</v>
      </c>
      <c r="N11" s="25" t="n">
        <f aca="false">(N7+N10)/2</f>
        <v>1393.96865645226</v>
      </c>
      <c r="O11" s="25" t="n">
        <f aca="false">(O7+O10)/2</f>
        <v>1458.30134601031</v>
      </c>
      <c r="P11" s="25" t="n">
        <f aca="false">(P7+P10)/2</f>
        <v>1516.21871639808</v>
      </c>
      <c r="Q11" s="25" t="n">
        <f aca="false">(Q7+Q10)/2</f>
        <v>1572.86190463732</v>
      </c>
      <c r="R11" s="25" t="n">
        <f aca="false">(R7+R10)/2</f>
        <v>1628.2589427353</v>
      </c>
      <c r="S11" s="25" t="n">
        <f aca="false">(S7+S10)/2</f>
        <v>1682.43724599513</v>
      </c>
      <c r="T11" s="25" t="n">
        <f aca="false">(T7+T10)/2</f>
        <v>1735.42362658323</v>
      </c>
      <c r="U11" s="25" t="n">
        <f aca="false">(U7+U10)/2</f>
        <v>1787.2443067984</v>
      </c>
      <c r="V11" s="25" t="n">
        <f aca="false">(V7+V10)/2</f>
        <v>1837.92493204884</v>
      </c>
      <c r="W11" s="25" t="n">
        <f aca="false">(W7+W10)/2</f>
        <v>1887.49058354376</v>
      </c>
      <c r="X11" s="25" t="n">
        <f aca="false">(X7+X10)/2</f>
        <v>1935.9657907058</v>
      </c>
      <c r="Y11" s="25" t="n">
        <f aca="false">(Y7+Y10)/2</f>
        <v>1983.37454331027</v>
      </c>
      <c r="Z11" s="25" t="n">
        <f aca="false">(Z7+Z10)/2</f>
        <v>2029.74030335745</v>
      </c>
      <c r="AA11" s="25" t="n">
        <f aca="false">(AA7+AA10)/2</f>
        <v>2070.08601668358</v>
      </c>
      <c r="AB11" s="25" t="n">
        <f aca="false">(AB7+AB10)/2</f>
        <v>2104.54412431654</v>
      </c>
      <c r="AC11" s="25" t="n">
        <f aca="false">(AC7+AC10)/2</f>
        <v>2138.24415358158</v>
      </c>
      <c r="AD11" s="25" t="n">
        <f aca="false">(AD7+AD10)/2</f>
        <v>2171.20278220279</v>
      </c>
      <c r="AE11" s="25" t="n">
        <f aca="false">(AE7+AE10)/2</f>
        <v>2193.74940394051</v>
      </c>
      <c r="AF11" s="25" t="n">
        <f aca="false">(AF7+AF10)/2</f>
        <v>2200</v>
      </c>
      <c r="AG11" s="25" t="n">
        <f aca="false">(AG7+AG10)/2</f>
        <v>2200</v>
      </c>
      <c r="AH11" s="25" t="n">
        <f aca="false">(AH7+AH10)/2</f>
        <v>2200</v>
      </c>
      <c r="AI11" s="25" t="n">
        <f aca="false">(AI7+AI10)/2</f>
        <v>2200</v>
      </c>
      <c r="AJ11" s="25" t="n">
        <f aca="false">(AJ7+AJ10)/2</f>
        <v>2200</v>
      </c>
      <c r="AK11" s="25" t="n">
        <f aca="false">(AK7+AK10)/2</f>
        <v>2200</v>
      </c>
      <c r="AL11" s="25" t="n">
        <f aca="false">(AL7+AL10)/2</f>
        <v>2200</v>
      </c>
      <c r="AM11" s="25" t="n">
        <f aca="false">(AM7+AM10)/2</f>
        <v>2200</v>
      </c>
      <c r="AN11" s="25" t="n">
        <f aca="false">(AN7+AN10)/2</f>
        <v>2200</v>
      </c>
      <c r="AO11" s="25" t="n">
        <f aca="false">(AO7+AO10)/2</f>
        <v>2200</v>
      </c>
      <c r="AP11" s="25" t="n">
        <f aca="false">(AP7+AP10)/2</f>
        <v>2200</v>
      </c>
      <c r="AQ11" s="25" t="n">
        <f aca="false">(AQ7+AQ10)/2</f>
        <v>2200</v>
      </c>
      <c r="AR11" s="25" t="n">
        <f aca="false">(AR7+AR10)/2</f>
        <v>2200</v>
      </c>
      <c r="AS11" s="25" t="n">
        <f aca="false">(AS7+AS10)/2</f>
        <v>2200</v>
      </c>
      <c r="AT11" s="25" t="n">
        <f aca="false">(AT7+AT10)/2</f>
        <v>2200</v>
      </c>
      <c r="AU11" s="25" t="n">
        <f aca="false">(AU7+AU10)/2</f>
        <v>2200</v>
      </c>
      <c r="AV11" s="25" t="n">
        <f aca="false">(AV7+AV10)/2</f>
        <v>2200</v>
      </c>
      <c r="AW11" s="25" t="n">
        <f aca="false">(AW7+AW10)/2</f>
        <v>2200</v>
      </c>
      <c r="AX11" s="25" t="n">
        <f aca="false">(AX7+AX10)/2</f>
        <v>2200</v>
      </c>
      <c r="AY11" s="25" t="n">
        <f aca="false">(AY7+AY10)/2</f>
        <v>2200</v>
      </c>
      <c r="AZ11" s="25" t="n">
        <f aca="false">(AZ7+AZ10)/2</f>
        <v>2200</v>
      </c>
      <c r="BA11" s="25" t="n">
        <f aca="false">(BA7+BA10)/2</f>
        <v>2200</v>
      </c>
      <c r="BB11" s="25" t="n">
        <f aca="false">(BB7+BB10)/2</f>
        <v>2200</v>
      </c>
      <c r="BC11" s="25" t="n">
        <f aca="false">(BC7+BC10)/2</f>
        <v>2200</v>
      </c>
      <c r="BD11" s="25" t="n">
        <f aca="false">(BD7+BD10)/2</f>
        <v>2200</v>
      </c>
      <c r="BE11" s="25" t="n">
        <f aca="false">(BE7+BE10)/2</f>
        <v>2200</v>
      </c>
      <c r="BF11" s="25" t="n">
        <f aca="false">(BF7+BF10)/2</f>
        <v>2200</v>
      </c>
      <c r="BG11" s="25" t="n">
        <f aca="false">(BG7+BG10)/2</f>
        <v>2200</v>
      </c>
      <c r="BH11" s="25" t="n">
        <f aca="false">(BH7+BH10)/2</f>
        <v>2200</v>
      </c>
      <c r="BI11" s="25" t="n">
        <f aca="false">(BI7+BI10)/2</f>
        <v>2200</v>
      </c>
      <c r="BJ11" s="25" t="n">
        <f aca="false">(BJ7+BJ10)/2</f>
        <v>2200</v>
      </c>
    </row>
    <row r="12" customFormat="false" ht="15" hidden="false" customHeight="false" outlineLevel="0" collapsed="false">
      <c r="B12" s="2" t="s">
        <v>344</v>
      </c>
      <c r="C12" s="25" t="n">
        <f aca="false">C10*Spitzenlast</f>
        <v>26.5265</v>
      </c>
      <c r="D12" s="25" t="n">
        <f aca="false">D10*Spitzenlast</f>
        <v>33.642917</v>
      </c>
      <c r="E12" s="25" t="n">
        <f aca="false">E10*Spitzenlast</f>
        <v>40.602772826</v>
      </c>
      <c r="F12" s="25" t="n">
        <f aca="false">F10*Spitzenlast</f>
        <v>45.209511823828</v>
      </c>
      <c r="G12" s="25" t="n">
        <f aca="false">G10*Spitzenlast</f>
        <v>49.7149025637038</v>
      </c>
      <c r="H12" s="25" t="n">
        <f aca="false">H10*Spitzenlast</f>
        <v>54.1211747073023</v>
      </c>
      <c r="I12" s="25" t="n">
        <f aca="false">I10*Spitzenlast</f>
        <v>58.4305088637417</v>
      </c>
      <c r="J12" s="25" t="n">
        <f aca="false">J10*Spitzenlast</f>
        <v>62.6450376687393</v>
      </c>
      <c r="K12" s="25" t="n">
        <f aca="false">K10*Spitzenlast</f>
        <v>66.7668468400271</v>
      </c>
      <c r="L12" s="25" t="n">
        <f aca="false">L10*Spitzenlast</f>
        <v>70.7979762095465</v>
      </c>
      <c r="M12" s="25" t="n">
        <f aca="false">M10*Spitzenlast</f>
        <v>74.7404207329365</v>
      </c>
      <c r="N12" s="25" t="n">
        <f aca="false">N10*Spitzenlast</f>
        <v>78.5961314768119</v>
      </c>
      <c r="O12" s="25" t="n">
        <f aca="false">O10*Spitzenlast</f>
        <v>81.817016584322</v>
      </c>
      <c r="P12" s="25" t="n">
        <f aca="false">P10*Spitzenlast</f>
        <v>84.9670422194669</v>
      </c>
      <c r="Q12" s="25" t="n">
        <f aca="false">Q10*Spitzenlast</f>
        <v>88.0477672906387</v>
      </c>
      <c r="R12" s="25" t="n">
        <f aca="false">R10*Spitzenlast</f>
        <v>91.0607164102446</v>
      </c>
      <c r="S12" s="25" t="n">
        <f aca="false">S10*Spitzenlast</f>
        <v>94.0073806492192</v>
      </c>
      <c r="T12" s="25" t="n">
        <f aca="false">T10*Spitzenlast</f>
        <v>96.8892182749364</v>
      </c>
      <c r="U12" s="25" t="n">
        <f aca="false">U10*Spitzenlast</f>
        <v>99.7076554728878</v>
      </c>
      <c r="V12" s="25" t="n">
        <f aca="false">V10*Spitzenlast</f>
        <v>102.464087052484</v>
      </c>
      <c r="W12" s="25" t="n">
        <f aca="false">W10*Spitzenlast</f>
        <v>105.15987713733</v>
      </c>
      <c r="X12" s="25" t="n">
        <f aca="false">X10*Spitzenlast</f>
        <v>107.796359840308</v>
      </c>
      <c r="Y12" s="25" t="n">
        <f aca="false">Y10*Spitzenlast</f>
        <v>110.374839923822</v>
      </c>
      <c r="Z12" s="25" t="n">
        <f aca="false">Z10*Spitzenlast</f>
        <v>112.896593445498</v>
      </c>
      <c r="AA12" s="25" t="n">
        <f aca="false">AA10*Spitzenlast</f>
        <v>114.812868389697</v>
      </c>
      <c r="AB12" s="25" t="n">
        <f aca="false">AB10*Spitzenlast</f>
        <v>116.686985285123</v>
      </c>
      <c r="AC12" s="25" t="n">
        <f aca="false">AC10*Spitzenlast</f>
        <v>118.519871608851</v>
      </c>
      <c r="AD12" s="25" t="n">
        <f aca="false">AD10*Spitzenlast</f>
        <v>120.312434433456</v>
      </c>
      <c r="AE12" s="25" t="n">
        <f aca="false">AE10*Spitzenlast</f>
        <v>121</v>
      </c>
      <c r="AF12" s="25" t="n">
        <f aca="false">AF10*Spitzenlast</f>
        <v>121</v>
      </c>
      <c r="AG12" s="25" t="n">
        <f aca="false">AG10*Spitzenlast</f>
        <v>121</v>
      </c>
      <c r="AH12" s="25" t="n">
        <f aca="false">AH10*Spitzenlast</f>
        <v>121</v>
      </c>
      <c r="AI12" s="25" t="n">
        <f aca="false">AI10*Spitzenlast</f>
        <v>121</v>
      </c>
      <c r="AJ12" s="25" t="n">
        <f aca="false">AJ10*Spitzenlast</f>
        <v>121</v>
      </c>
      <c r="AK12" s="25" t="n">
        <f aca="false">AK10*Spitzenlast</f>
        <v>121</v>
      </c>
      <c r="AL12" s="25" t="n">
        <f aca="false">AL10*Spitzenlast</f>
        <v>121</v>
      </c>
      <c r="AM12" s="25" t="n">
        <f aca="false">AM10*Spitzenlast</f>
        <v>121</v>
      </c>
      <c r="AN12" s="25" t="n">
        <f aca="false">AN10*Spitzenlast</f>
        <v>121</v>
      </c>
      <c r="AO12" s="25" t="n">
        <f aca="false">AO10*Spitzenlast</f>
        <v>121</v>
      </c>
      <c r="AP12" s="25" t="n">
        <f aca="false">AP10*Spitzenlast</f>
        <v>121</v>
      </c>
      <c r="AQ12" s="25" t="n">
        <f aca="false">AQ10*Spitzenlast</f>
        <v>121</v>
      </c>
      <c r="AR12" s="25" t="n">
        <f aca="false">AR10*Spitzenlast</f>
        <v>121</v>
      </c>
      <c r="AS12" s="25" t="n">
        <f aca="false">AS10*Spitzenlast</f>
        <v>121</v>
      </c>
      <c r="AT12" s="25" t="n">
        <f aca="false">AT10*Spitzenlast</f>
        <v>121</v>
      </c>
      <c r="AU12" s="25" t="n">
        <f aca="false">AU10*Spitzenlast</f>
        <v>121</v>
      </c>
      <c r="AV12" s="25" t="n">
        <f aca="false">AV10*Spitzenlast</f>
        <v>121</v>
      </c>
      <c r="AW12" s="25" t="n">
        <f aca="false">AW10*Spitzenlast</f>
        <v>121</v>
      </c>
      <c r="AX12" s="25" t="n">
        <f aca="false">AX10*Spitzenlast</f>
        <v>121</v>
      </c>
      <c r="AY12" s="25" t="n">
        <f aca="false">AY10*Spitzenlast</f>
        <v>121</v>
      </c>
      <c r="AZ12" s="25" t="n">
        <f aca="false">AZ10*Spitzenlast</f>
        <v>121</v>
      </c>
      <c r="BA12" s="25" t="n">
        <f aca="false">BA10*Spitzenlast</f>
        <v>121</v>
      </c>
      <c r="BB12" s="25" t="n">
        <f aca="false">BB10*Spitzenlast</f>
        <v>121</v>
      </c>
      <c r="BC12" s="25" t="n">
        <f aca="false">BC10*Spitzenlast</f>
        <v>121</v>
      </c>
      <c r="BD12" s="25" t="n">
        <f aca="false">BD10*Spitzenlast</f>
        <v>121</v>
      </c>
      <c r="BE12" s="25" t="n">
        <f aca="false">BE10*Spitzenlast</f>
        <v>121</v>
      </c>
      <c r="BF12" s="25" t="n">
        <f aca="false">BF10*Spitzenlast</f>
        <v>121</v>
      </c>
      <c r="BG12" s="25" t="n">
        <f aca="false">BG10*Spitzenlast</f>
        <v>121</v>
      </c>
      <c r="BH12" s="25" t="n">
        <f aca="false">BH10*Spitzenlast</f>
        <v>121</v>
      </c>
      <c r="BI12" s="25" t="n">
        <f aca="false">BI10*Spitzenlast</f>
        <v>121</v>
      </c>
      <c r="BJ12" s="25" t="n">
        <f aca="false">BJ10*Spitzenlast</f>
        <v>121</v>
      </c>
    </row>
    <row r="13" customFormat="false" ht="15" hidden="false" customHeight="false" outlineLevel="0" collapsed="false">
      <c r="B13" s="2" t="s">
        <v>345</v>
      </c>
      <c r="C13" s="37" t="n">
        <f aca="false">C12/Personen</f>
        <v>0.210527777777778</v>
      </c>
      <c r="D13" s="37" t="n">
        <f aca="false">D12/Personen</f>
        <v>0.267007277777778</v>
      </c>
      <c r="E13" s="37" t="n">
        <f aca="false">E12/Personen</f>
        <v>0.322244228777778</v>
      </c>
      <c r="F13" s="37" t="n">
        <f aca="false">F12/Personen</f>
        <v>0.35880564939546</v>
      </c>
      <c r="G13" s="37" t="n">
        <f aca="false">G12/Personen</f>
        <v>0.394562718759554</v>
      </c>
      <c r="H13" s="37" t="n">
        <f aca="false">H12/Personen</f>
        <v>0.429533132597637</v>
      </c>
      <c r="I13" s="37" t="n">
        <f aca="false">I12/Personen</f>
        <v>0.463734197331283</v>
      </c>
      <c r="J13" s="37" t="n">
        <f aca="false">J12/Personen</f>
        <v>0.497182838640788</v>
      </c>
      <c r="K13" s="37" t="n">
        <f aca="false">K12/Personen</f>
        <v>0.529895609841485</v>
      </c>
      <c r="L13" s="37" t="n">
        <f aca="false">L12/Personen</f>
        <v>0.561888700075766</v>
      </c>
      <c r="M13" s="37" t="n">
        <f aca="false">M12/Personen</f>
        <v>0.593177942324893</v>
      </c>
      <c r="N13" s="37" t="n">
        <f aca="false">N12/Personen</f>
        <v>0.623778821244539</v>
      </c>
      <c r="O13" s="37" t="n">
        <f aca="false">O12/Personen</f>
        <v>0.649341401462873</v>
      </c>
      <c r="P13" s="37" t="n">
        <f aca="false">P12/Personen</f>
        <v>0.674341604916404</v>
      </c>
      <c r="Q13" s="37" t="n">
        <f aca="false">Q12/Personen</f>
        <v>0.698791803893958</v>
      </c>
      <c r="R13" s="37" t="n">
        <f aca="false">R12/Personen</f>
        <v>0.722704098494005</v>
      </c>
      <c r="S13" s="37" t="n">
        <f aca="false">S12/Personen</f>
        <v>0.746090322612851</v>
      </c>
      <c r="T13" s="37" t="n">
        <f aca="false">T12/Personen</f>
        <v>0.768962049801083</v>
      </c>
      <c r="U13" s="37" t="n">
        <f aca="false">U12/Personen</f>
        <v>0.791330598991173</v>
      </c>
      <c r="V13" s="37" t="n">
        <f aca="false">V12/Personen</f>
        <v>0.813207040099081</v>
      </c>
      <c r="W13" s="37" t="n">
        <f aca="false">W12/Personen</f>
        <v>0.834602199502616</v>
      </c>
      <c r="X13" s="37" t="n">
        <f aca="false">X12/Personen</f>
        <v>0.855526665399273</v>
      </c>
      <c r="Y13" s="37" t="n">
        <f aca="false">Y12/Personen</f>
        <v>0.875990793046203</v>
      </c>
      <c r="Z13" s="37" t="n">
        <f aca="false">Z12/Personen</f>
        <v>0.896004709884901</v>
      </c>
      <c r="AA13" s="37" t="n">
        <f aca="false">AA12/Personen</f>
        <v>0.911213241188068</v>
      </c>
      <c r="AB13" s="37" t="n">
        <f aca="false">AB12/Personen</f>
        <v>0.926087184802566</v>
      </c>
      <c r="AC13" s="37" t="n">
        <f aca="false">AC12/Personen</f>
        <v>0.940633901657544</v>
      </c>
      <c r="AD13" s="37" t="n">
        <f aca="false">AD12/Personen</f>
        <v>0.954860590741713</v>
      </c>
      <c r="AE13" s="37" t="n">
        <f aca="false">AE12/Personen</f>
        <v>0.96031746031746</v>
      </c>
      <c r="AF13" s="37" t="n">
        <f aca="false">AF12/Personen</f>
        <v>0.96031746031746</v>
      </c>
      <c r="AG13" s="37" t="n">
        <f aca="false">AG12/Personen</f>
        <v>0.96031746031746</v>
      </c>
      <c r="AH13" s="37" t="n">
        <f aca="false">AH12/Personen</f>
        <v>0.96031746031746</v>
      </c>
      <c r="AI13" s="37" t="n">
        <f aca="false">AI12/Personen</f>
        <v>0.96031746031746</v>
      </c>
      <c r="AJ13" s="37" t="n">
        <f aca="false">AJ12/Personen</f>
        <v>0.96031746031746</v>
      </c>
      <c r="AK13" s="37" t="n">
        <f aca="false">AK12/Personen</f>
        <v>0.96031746031746</v>
      </c>
      <c r="AL13" s="37" t="n">
        <f aca="false">AL12/Personen</f>
        <v>0.96031746031746</v>
      </c>
      <c r="AM13" s="37" t="n">
        <f aca="false">AM12/Personen</f>
        <v>0.96031746031746</v>
      </c>
      <c r="AN13" s="37" t="n">
        <f aca="false">AN12/Personen</f>
        <v>0.96031746031746</v>
      </c>
      <c r="AO13" s="37" t="n">
        <f aca="false">AO12/Personen</f>
        <v>0.96031746031746</v>
      </c>
      <c r="AP13" s="37" t="n">
        <f aca="false">AP12/Personen</f>
        <v>0.96031746031746</v>
      </c>
      <c r="AQ13" s="37" t="n">
        <f aca="false">AQ12/Personen</f>
        <v>0.96031746031746</v>
      </c>
      <c r="AR13" s="37" t="n">
        <f aca="false">AR12/Personen</f>
        <v>0.96031746031746</v>
      </c>
      <c r="AS13" s="37" t="n">
        <f aca="false">AS12/Personen</f>
        <v>0.96031746031746</v>
      </c>
      <c r="AT13" s="37" t="n">
        <f aca="false">AT12/Personen</f>
        <v>0.96031746031746</v>
      </c>
      <c r="AU13" s="37" t="n">
        <f aca="false">AU12/Personen</f>
        <v>0.96031746031746</v>
      </c>
      <c r="AV13" s="37" t="n">
        <f aca="false">AV12/Personen</f>
        <v>0.96031746031746</v>
      </c>
      <c r="AW13" s="37" t="n">
        <f aca="false">AW12/Personen</f>
        <v>0.96031746031746</v>
      </c>
      <c r="AX13" s="37" t="n">
        <f aca="false">AX12/Personen</f>
        <v>0.96031746031746</v>
      </c>
      <c r="AY13" s="37" t="n">
        <f aca="false">AY12/Personen</f>
        <v>0.96031746031746</v>
      </c>
      <c r="AZ13" s="37" t="n">
        <f aca="false">AZ12/Personen</f>
        <v>0.96031746031746</v>
      </c>
      <c r="BA13" s="37" t="n">
        <f aca="false">BA12/Personen</f>
        <v>0.96031746031746</v>
      </c>
      <c r="BB13" s="37" t="n">
        <f aca="false">BB12/Personen</f>
        <v>0.96031746031746</v>
      </c>
      <c r="BC13" s="37" t="n">
        <f aca="false">BC12/Personen</f>
        <v>0.96031746031746</v>
      </c>
      <c r="BD13" s="37" t="n">
        <f aca="false">BD12/Personen</f>
        <v>0.96031746031746</v>
      </c>
      <c r="BE13" s="37" t="n">
        <f aca="false">BE12/Personen</f>
        <v>0.96031746031746</v>
      </c>
      <c r="BF13" s="37" t="n">
        <f aca="false">BF12/Personen</f>
        <v>0.96031746031746</v>
      </c>
      <c r="BG13" s="37" t="n">
        <f aca="false">BG12/Personen</f>
        <v>0.96031746031746</v>
      </c>
      <c r="BH13" s="37" t="n">
        <f aca="false">BH12/Personen</f>
        <v>0.96031746031746</v>
      </c>
      <c r="BI13" s="37" t="n">
        <f aca="false">BI12/Personen</f>
        <v>0.96031746031746</v>
      </c>
      <c r="BJ13" s="37" t="n">
        <f aca="false">BJ12/Personen</f>
        <v>0.96031746031746</v>
      </c>
    </row>
    <row r="16" customFormat="false" ht="15" hidden="false" customHeight="false" outlineLevel="0" collapsed="false">
      <c r="B16" s="4" t="s">
        <v>346</v>
      </c>
    </row>
    <row r="17" customFormat="false" ht="15" hidden="false" customHeight="false" outlineLevel="0" collapsed="false">
      <c r="B17" s="30" t="s">
        <v>337</v>
      </c>
      <c r="C17" s="31" t="n">
        <v>1</v>
      </c>
      <c r="D17" s="31" t="n">
        <v>2</v>
      </c>
      <c r="E17" s="31" t="n">
        <v>3</v>
      </c>
      <c r="F17" s="31" t="n">
        <v>4</v>
      </c>
      <c r="G17" s="31" t="n">
        <v>5</v>
      </c>
    </row>
    <row r="18" customFormat="false" ht="15" hidden="false" customHeight="false" outlineLevel="0" collapsed="false">
      <c r="B18" s="2" t="s">
        <v>347</v>
      </c>
      <c r="C18" s="25" t="n">
        <f aca="false">SUMIF(Mg_Jahr,C17,Mg_Neu)</f>
        <v>1320</v>
      </c>
      <c r="D18" s="25" t="n">
        <f aca="false">SUMIF(Mg_Jahr,D17,Mg_Neu)</f>
        <v>1080</v>
      </c>
      <c r="E18" s="25" t="n">
        <f aca="false">SUMIF(Mg_Jahr,E17,Mg_Neu)</f>
        <v>960</v>
      </c>
      <c r="F18" s="25" t="n">
        <f aca="false">SUMIF(Mg_Jahr,F17,Mg_Neu)</f>
        <v>900</v>
      </c>
      <c r="G18" s="25" t="n">
        <f aca="false">SUMIF(Mg_Jahr,G17,Mg_Neu)</f>
        <v>900</v>
      </c>
    </row>
    <row r="19" customFormat="false" ht="15" hidden="false" customHeight="false" outlineLevel="0" collapsed="false">
      <c r="B19" s="2" t="s">
        <v>348</v>
      </c>
      <c r="C19" s="25" t="n">
        <f aca="false">INDEX(Mg_Ende,C17*12)</f>
        <v>1429.02057230567</v>
      </c>
      <c r="D19" s="25" t="n">
        <f aca="false">INDEX(Mg_Ende,D17*12)</f>
        <v>2052.66533537268</v>
      </c>
      <c r="E19" s="25" t="n">
        <f aca="false">INDEX(Mg_Ende,E17*12)</f>
        <v>2200</v>
      </c>
      <c r="F19" s="25" t="n">
        <f aca="false">INDEX(Mg_Ende,F17*12)</f>
        <v>2200</v>
      </c>
      <c r="G19" s="25" t="n">
        <f aca="false">INDEX(Mg_Ende,G17*12)</f>
        <v>2200</v>
      </c>
    </row>
    <row r="20" customFormat="false" ht="15" hidden="false" customHeight="false" outlineLevel="0" collapsed="false">
      <c r="B20" s="2" t="s">
        <v>349</v>
      </c>
      <c r="C20" s="23" t="n">
        <f aca="false">C19/Flaeche</f>
        <v>0.723408207100167</v>
      </c>
      <c r="D20" s="23" t="n">
        <f aca="false">D19/Flaeche</f>
        <v>1.0391137670207</v>
      </c>
      <c r="E20" s="23" t="n">
        <f aca="false">E19/Flaeche</f>
        <v>1.11369849144477</v>
      </c>
      <c r="F20" s="23" t="n">
        <f aca="false">F19/Flaeche</f>
        <v>1.11369849144477</v>
      </c>
      <c r="G20" s="23" t="n">
        <f aca="false">G19/Flaeche</f>
        <v>1.11369849144477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62" min="3" style="0" width="11"/>
  </cols>
  <sheetData>
    <row r="1" customFormat="false" ht="17.35" hidden="false" customHeight="false" outlineLevel="0" collapsed="false">
      <c r="B1" s="1" t="s">
        <v>350</v>
      </c>
    </row>
    <row r="2" customFormat="false" ht="15" hidden="false" customHeight="false" outlineLevel="0" collapsed="false">
      <c r="B2" s="3" t="s">
        <v>351</v>
      </c>
    </row>
    <row r="4" customFormat="false" ht="15" hidden="false" customHeight="false" outlineLevel="0" collapsed="false">
      <c r="B4" s="30" t="s">
        <v>211</v>
      </c>
      <c r="C4" s="31" t="n">
        <v>1</v>
      </c>
      <c r="D4" s="31" t="n">
        <v>2</v>
      </c>
      <c r="E4" s="31" t="n">
        <v>3</v>
      </c>
      <c r="F4" s="31" t="n">
        <v>4</v>
      </c>
      <c r="G4" s="31" t="n">
        <v>5</v>
      </c>
      <c r="H4" s="31" t="n">
        <v>6</v>
      </c>
      <c r="I4" s="31" t="n">
        <v>7</v>
      </c>
      <c r="J4" s="31" t="n">
        <v>8</v>
      </c>
      <c r="K4" s="31" t="n">
        <v>9</v>
      </c>
      <c r="L4" s="31" t="n">
        <v>10</v>
      </c>
      <c r="M4" s="31" t="n">
        <v>11</v>
      </c>
      <c r="N4" s="31" t="n">
        <v>12</v>
      </c>
      <c r="O4" s="31" t="n">
        <v>13</v>
      </c>
      <c r="P4" s="31" t="n">
        <v>14</v>
      </c>
      <c r="Q4" s="31" t="n">
        <v>15</v>
      </c>
      <c r="R4" s="31" t="n">
        <v>16</v>
      </c>
      <c r="S4" s="31" t="n">
        <v>17</v>
      </c>
      <c r="T4" s="31" t="n">
        <v>18</v>
      </c>
      <c r="U4" s="31" t="n">
        <v>19</v>
      </c>
      <c r="V4" s="31" t="n">
        <v>20</v>
      </c>
      <c r="W4" s="31" t="n">
        <v>21</v>
      </c>
      <c r="X4" s="31" t="n">
        <v>22</v>
      </c>
      <c r="Y4" s="31" t="n">
        <v>23</v>
      </c>
      <c r="Z4" s="31" t="n">
        <v>24</v>
      </c>
      <c r="AA4" s="31" t="n">
        <v>25</v>
      </c>
      <c r="AB4" s="31" t="n">
        <v>26</v>
      </c>
      <c r="AC4" s="31" t="n">
        <v>27</v>
      </c>
      <c r="AD4" s="31" t="n">
        <v>28</v>
      </c>
      <c r="AE4" s="31" t="n">
        <v>29</v>
      </c>
      <c r="AF4" s="31" t="n">
        <v>30</v>
      </c>
      <c r="AG4" s="31" t="n">
        <v>31</v>
      </c>
      <c r="AH4" s="31" t="n">
        <v>32</v>
      </c>
      <c r="AI4" s="31" t="n">
        <v>33</v>
      </c>
      <c r="AJ4" s="31" t="n">
        <v>34</v>
      </c>
      <c r="AK4" s="31" t="n">
        <v>35</v>
      </c>
      <c r="AL4" s="31" t="n">
        <v>36</v>
      </c>
      <c r="AM4" s="31" t="n">
        <v>37</v>
      </c>
      <c r="AN4" s="31" t="n">
        <v>38</v>
      </c>
      <c r="AO4" s="31" t="n">
        <v>39</v>
      </c>
      <c r="AP4" s="31" t="n">
        <v>40</v>
      </c>
      <c r="AQ4" s="31" t="n">
        <v>41</v>
      </c>
      <c r="AR4" s="31" t="n">
        <v>42</v>
      </c>
      <c r="AS4" s="31" t="n">
        <v>43</v>
      </c>
      <c r="AT4" s="31" t="n">
        <v>44</v>
      </c>
      <c r="AU4" s="31" t="n">
        <v>45</v>
      </c>
      <c r="AV4" s="31" t="n">
        <v>46</v>
      </c>
      <c r="AW4" s="31" t="n">
        <v>47</v>
      </c>
      <c r="AX4" s="31" t="n">
        <v>48</v>
      </c>
      <c r="AY4" s="31" t="n">
        <v>49</v>
      </c>
      <c r="AZ4" s="31" t="n">
        <v>50</v>
      </c>
      <c r="BA4" s="31" t="n">
        <v>51</v>
      </c>
      <c r="BB4" s="31" t="n">
        <v>52</v>
      </c>
      <c r="BC4" s="31" t="n">
        <v>53</v>
      </c>
      <c r="BD4" s="31" t="n">
        <v>54</v>
      </c>
      <c r="BE4" s="31" t="n">
        <v>55</v>
      </c>
      <c r="BF4" s="31" t="n">
        <v>56</v>
      </c>
      <c r="BG4" s="31" t="n">
        <v>57</v>
      </c>
      <c r="BH4" s="31" t="n">
        <v>58</v>
      </c>
      <c r="BI4" s="31" t="n">
        <v>59</v>
      </c>
      <c r="BJ4" s="31" t="n">
        <v>60</v>
      </c>
    </row>
    <row r="5" customFormat="false" ht="15" hidden="false" customHeight="false" outlineLevel="0" collapsed="false">
      <c r="B5" s="8" t="s">
        <v>337</v>
      </c>
      <c r="C5" s="36" t="n">
        <f aca="false">IF(C4&lt;1,1,INT((C4-1)/12)+1)</f>
        <v>1</v>
      </c>
      <c r="D5" s="36" t="n">
        <f aca="false">IF(D4&lt;1,1,INT((D4-1)/12)+1)</f>
        <v>1</v>
      </c>
      <c r="E5" s="36" t="n">
        <f aca="false">IF(E4&lt;1,1,INT((E4-1)/12)+1)</f>
        <v>1</v>
      </c>
      <c r="F5" s="36" t="n">
        <f aca="false">IF(F4&lt;1,1,INT((F4-1)/12)+1)</f>
        <v>1</v>
      </c>
      <c r="G5" s="36" t="n">
        <f aca="false">IF(G4&lt;1,1,INT((G4-1)/12)+1)</f>
        <v>1</v>
      </c>
      <c r="H5" s="36" t="n">
        <f aca="false">IF(H4&lt;1,1,INT((H4-1)/12)+1)</f>
        <v>1</v>
      </c>
      <c r="I5" s="36" t="n">
        <f aca="false">IF(I4&lt;1,1,INT((I4-1)/12)+1)</f>
        <v>1</v>
      </c>
      <c r="J5" s="36" t="n">
        <f aca="false">IF(J4&lt;1,1,INT((J4-1)/12)+1)</f>
        <v>1</v>
      </c>
      <c r="K5" s="36" t="n">
        <f aca="false">IF(K4&lt;1,1,INT((K4-1)/12)+1)</f>
        <v>1</v>
      </c>
      <c r="L5" s="36" t="n">
        <f aca="false">IF(L4&lt;1,1,INT((L4-1)/12)+1)</f>
        <v>1</v>
      </c>
      <c r="M5" s="36" t="n">
        <f aca="false">IF(M4&lt;1,1,INT((M4-1)/12)+1)</f>
        <v>1</v>
      </c>
      <c r="N5" s="36" t="n">
        <f aca="false">IF(N4&lt;1,1,INT((N4-1)/12)+1)</f>
        <v>1</v>
      </c>
      <c r="O5" s="36" t="n">
        <f aca="false">IF(O4&lt;1,1,INT((O4-1)/12)+1)</f>
        <v>2</v>
      </c>
      <c r="P5" s="36" t="n">
        <f aca="false">IF(P4&lt;1,1,INT((P4-1)/12)+1)</f>
        <v>2</v>
      </c>
      <c r="Q5" s="36" t="n">
        <f aca="false">IF(Q4&lt;1,1,INT((Q4-1)/12)+1)</f>
        <v>2</v>
      </c>
      <c r="R5" s="36" t="n">
        <f aca="false">IF(R4&lt;1,1,INT((R4-1)/12)+1)</f>
        <v>2</v>
      </c>
      <c r="S5" s="36" t="n">
        <f aca="false">IF(S4&lt;1,1,INT((S4-1)/12)+1)</f>
        <v>2</v>
      </c>
      <c r="T5" s="36" t="n">
        <f aca="false">IF(T4&lt;1,1,INT((T4-1)/12)+1)</f>
        <v>2</v>
      </c>
      <c r="U5" s="36" t="n">
        <f aca="false">IF(U4&lt;1,1,INT((U4-1)/12)+1)</f>
        <v>2</v>
      </c>
      <c r="V5" s="36" t="n">
        <f aca="false">IF(V4&lt;1,1,INT((V4-1)/12)+1)</f>
        <v>2</v>
      </c>
      <c r="W5" s="36" t="n">
        <f aca="false">IF(W4&lt;1,1,INT((W4-1)/12)+1)</f>
        <v>2</v>
      </c>
      <c r="X5" s="36" t="n">
        <f aca="false">IF(X4&lt;1,1,INT((X4-1)/12)+1)</f>
        <v>2</v>
      </c>
      <c r="Y5" s="36" t="n">
        <f aca="false">IF(Y4&lt;1,1,INT((Y4-1)/12)+1)</f>
        <v>2</v>
      </c>
      <c r="Z5" s="36" t="n">
        <f aca="false">IF(Z4&lt;1,1,INT((Z4-1)/12)+1)</f>
        <v>2</v>
      </c>
      <c r="AA5" s="36" t="n">
        <f aca="false">IF(AA4&lt;1,1,INT((AA4-1)/12)+1)</f>
        <v>3</v>
      </c>
      <c r="AB5" s="36" t="n">
        <f aca="false">IF(AB4&lt;1,1,INT((AB4-1)/12)+1)</f>
        <v>3</v>
      </c>
      <c r="AC5" s="36" t="n">
        <f aca="false">IF(AC4&lt;1,1,INT((AC4-1)/12)+1)</f>
        <v>3</v>
      </c>
      <c r="AD5" s="36" t="n">
        <f aca="false">IF(AD4&lt;1,1,INT((AD4-1)/12)+1)</f>
        <v>3</v>
      </c>
      <c r="AE5" s="36" t="n">
        <f aca="false">IF(AE4&lt;1,1,INT((AE4-1)/12)+1)</f>
        <v>3</v>
      </c>
      <c r="AF5" s="36" t="n">
        <f aca="false">IF(AF4&lt;1,1,INT((AF4-1)/12)+1)</f>
        <v>3</v>
      </c>
      <c r="AG5" s="36" t="n">
        <f aca="false">IF(AG4&lt;1,1,INT((AG4-1)/12)+1)</f>
        <v>3</v>
      </c>
      <c r="AH5" s="36" t="n">
        <f aca="false">IF(AH4&lt;1,1,INT((AH4-1)/12)+1)</f>
        <v>3</v>
      </c>
      <c r="AI5" s="36" t="n">
        <f aca="false">IF(AI4&lt;1,1,INT((AI4-1)/12)+1)</f>
        <v>3</v>
      </c>
      <c r="AJ5" s="36" t="n">
        <f aca="false">IF(AJ4&lt;1,1,INT((AJ4-1)/12)+1)</f>
        <v>3</v>
      </c>
      <c r="AK5" s="36" t="n">
        <f aca="false">IF(AK4&lt;1,1,INT((AK4-1)/12)+1)</f>
        <v>3</v>
      </c>
      <c r="AL5" s="36" t="n">
        <f aca="false">IF(AL4&lt;1,1,INT((AL4-1)/12)+1)</f>
        <v>3</v>
      </c>
      <c r="AM5" s="36" t="n">
        <f aca="false">IF(AM4&lt;1,1,INT((AM4-1)/12)+1)</f>
        <v>4</v>
      </c>
      <c r="AN5" s="36" t="n">
        <f aca="false">IF(AN4&lt;1,1,INT((AN4-1)/12)+1)</f>
        <v>4</v>
      </c>
      <c r="AO5" s="36" t="n">
        <f aca="false">IF(AO4&lt;1,1,INT((AO4-1)/12)+1)</f>
        <v>4</v>
      </c>
      <c r="AP5" s="36" t="n">
        <f aca="false">IF(AP4&lt;1,1,INT((AP4-1)/12)+1)</f>
        <v>4</v>
      </c>
      <c r="AQ5" s="36" t="n">
        <f aca="false">IF(AQ4&lt;1,1,INT((AQ4-1)/12)+1)</f>
        <v>4</v>
      </c>
      <c r="AR5" s="36" t="n">
        <f aca="false">IF(AR4&lt;1,1,INT((AR4-1)/12)+1)</f>
        <v>4</v>
      </c>
      <c r="AS5" s="36" t="n">
        <f aca="false">IF(AS4&lt;1,1,INT((AS4-1)/12)+1)</f>
        <v>4</v>
      </c>
      <c r="AT5" s="36" t="n">
        <f aca="false">IF(AT4&lt;1,1,INT((AT4-1)/12)+1)</f>
        <v>4</v>
      </c>
      <c r="AU5" s="36" t="n">
        <f aca="false">IF(AU4&lt;1,1,INT((AU4-1)/12)+1)</f>
        <v>4</v>
      </c>
      <c r="AV5" s="36" t="n">
        <f aca="false">IF(AV4&lt;1,1,INT((AV4-1)/12)+1)</f>
        <v>4</v>
      </c>
      <c r="AW5" s="36" t="n">
        <f aca="false">IF(AW4&lt;1,1,INT((AW4-1)/12)+1)</f>
        <v>4</v>
      </c>
      <c r="AX5" s="36" t="n">
        <f aca="false">IF(AX4&lt;1,1,INT((AX4-1)/12)+1)</f>
        <v>4</v>
      </c>
      <c r="AY5" s="36" t="n">
        <f aca="false">IF(AY4&lt;1,1,INT((AY4-1)/12)+1)</f>
        <v>5</v>
      </c>
      <c r="AZ5" s="36" t="n">
        <f aca="false">IF(AZ4&lt;1,1,INT((AZ4-1)/12)+1)</f>
        <v>5</v>
      </c>
      <c r="BA5" s="36" t="n">
        <f aca="false">IF(BA4&lt;1,1,INT((BA4-1)/12)+1)</f>
        <v>5</v>
      </c>
      <c r="BB5" s="36" t="n">
        <f aca="false">IF(BB4&lt;1,1,INT((BB4-1)/12)+1)</f>
        <v>5</v>
      </c>
      <c r="BC5" s="36" t="n">
        <f aca="false">IF(BC4&lt;1,1,INT((BC4-1)/12)+1)</f>
        <v>5</v>
      </c>
      <c r="BD5" s="36" t="n">
        <f aca="false">IF(BD4&lt;1,1,INT((BD4-1)/12)+1)</f>
        <v>5</v>
      </c>
      <c r="BE5" s="36" t="n">
        <f aca="false">IF(BE4&lt;1,1,INT((BE4-1)/12)+1)</f>
        <v>5</v>
      </c>
      <c r="BF5" s="36" t="n">
        <f aca="false">IF(BF4&lt;1,1,INT((BF4-1)/12)+1)</f>
        <v>5</v>
      </c>
      <c r="BG5" s="36" t="n">
        <f aca="false">IF(BG4&lt;1,1,INT((BG4-1)/12)+1)</f>
        <v>5</v>
      </c>
      <c r="BH5" s="36" t="n">
        <f aca="false">IF(BH4&lt;1,1,INT((BH4-1)/12)+1)</f>
        <v>5</v>
      </c>
      <c r="BI5" s="36" t="n">
        <f aca="false">IF(BI4&lt;1,1,INT((BI4-1)/12)+1)</f>
        <v>5</v>
      </c>
      <c r="BJ5" s="36" t="n">
        <f aca="false">IF(BJ4&lt;1,1,INT((BJ4-1)/12)+1)</f>
        <v>5</v>
      </c>
    </row>
    <row r="6" customFormat="false" ht="15" hidden="false" customHeight="false" outlineLevel="0" collapsed="false">
      <c r="B6" s="8" t="s">
        <v>338</v>
      </c>
      <c r="C6" s="36" t="n">
        <v>1</v>
      </c>
      <c r="D6" s="36" t="n">
        <v>2</v>
      </c>
      <c r="E6" s="36" t="n">
        <v>3</v>
      </c>
      <c r="F6" s="36" t="n">
        <v>4</v>
      </c>
      <c r="G6" s="36" t="n">
        <v>5</v>
      </c>
      <c r="H6" s="36" t="n">
        <v>6</v>
      </c>
      <c r="I6" s="36" t="n">
        <v>7</v>
      </c>
      <c r="J6" s="36" t="n">
        <v>8</v>
      </c>
      <c r="K6" s="36" t="n">
        <v>9</v>
      </c>
      <c r="L6" s="36" t="n">
        <v>10</v>
      </c>
      <c r="M6" s="36" t="n">
        <v>11</v>
      </c>
      <c r="N6" s="36" t="n">
        <v>12</v>
      </c>
      <c r="O6" s="36" t="n">
        <v>13</v>
      </c>
      <c r="P6" s="36" t="n">
        <v>14</v>
      </c>
      <c r="Q6" s="36" t="n">
        <v>15</v>
      </c>
      <c r="R6" s="36" t="n">
        <v>16</v>
      </c>
      <c r="S6" s="36" t="n">
        <v>17</v>
      </c>
      <c r="T6" s="36" t="n">
        <v>18</v>
      </c>
      <c r="U6" s="36" t="n">
        <v>19</v>
      </c>
      <c r="V6" s="36" t="n">
        <v>20</v>
      </c>
      <c r="W6" s="36" t="n">
        <v>21</v>
      </c>
      <c r="X6" s="36" t="n">
        <v>22</v>
      </c>
      <c r="Y6" s="36" t="n">
        <v>23</v>
      </c>
      <c r="Z6" s="36" t="n">
        <v>24</v>
      </c>
      <c r="AA6" s="36" t="n">
        <v>25</v>
      </c>
      <c r="AB6" s="36" t="n">
        <v>26</v>
      </c>
      <c r="AC6" s="36" t="n">
        <v>27</v>
      </c>
      <c r="AD6" s="36" t="n">
        <v>28</v>
      </c>
      <c r="AE6" s="36" t="n">
        <v>29</v>
      </c>
      <c r="AF6" s="36" t="n">
        <v>30</v>
      </c>
      <c r="AG6" s="36" t="n">
        <v>31</v>
      </c>
      <c r="AH6" s="36" t="n">
        <v>32</v>
      </c>
      <c r="AI6" s="36" t="n">
        <v>33</v>
      </c>
      <c r="AJ6" s="36" t="n">
        <v>34</v>
      </c>
      <c r="AK6" s="36" t="n">
        <v>35</v>
      </c>
      <c r="AL6" s="36" t="n">
        <v>36</v>
      </c>
      <c r="AM6" s="36" t="n">
        <v>37</v>
      </c>
      <c r="AN6" s="36" t="n">
        <v>38</v>
      </c>
      <c r="AO6" s="36" t="n">
        <v>39</v>
      </c>
      <c r="AP6" s="36" t="n">
        <v>40</v>
      </c>
      <c r="AQ6" s="36" t="n">
        <v>41</v>
      </c>
      <c r="AR6" s="36" t="n">
        <v>42</v>
      </c>
      <c r="AS6" s="36" t="n">
        <v>43</v>
      </c>
      <c r="AT6" s="36" t="n">
        <v>44</v>
      </c>
      <c r="AU6" s="36" t="n">
        <v>45</v>
      </c>
      <c r="AV6" s="36" t="n">
        <v>46</v>
      </c>
      <c r="AW6" s="36" t="n">
        <v>47</v>
      </c>
      <c r="AX6" s="36" t="n">
        <v>48</v>
      </c>
      <c r="AY6" s="36" t="n">
        <v>49</v>
      </c>
      <c r="AZ6" s="36" t="n">
        <v>50</v>
      </c>
      <c r="BA6" s="36" t="n">
        <v>51</v>
      </c>
      <c r="BB6" s="36" t="n">
        <v>52</v>
      </c>
      <c r="BC6" s="36" t="n">
        <v>53</v>
      </c>
      <c r="BD6" s="36" t="n">
        <v>54</v>
      </c>
      <c r="BE6" s="36" t="n">
        <v>55</v>
      </c>
      <c r="BF6" s="36" t="n">
        <v>56</v>
      </c>
      <c r="BG6" s="36" t="n">
        <v>57</v>
      </c>
      <c r="BH6" s="36" t="n">
        <v>58</v>
      </c>
      <c r="BI6" s="36" t="n">
        <v>59</v>
      </c>
      <c r="BJ6" s="36" t="n">
        <v>60</v>
      </c>
    </row>
    <row r="7" customFormat="false" ht="15" hidden="false" customHeight="false" outlineLevel="0" collapsed="false">
      <c r="B7" s="2" t="s">
        <v>352</v>
      </c>
      <c r="C7" s="33" t="n">
        <f aca="false">Mitglieder!C11</f>
        <v>416.15</v>
      </c>
      <c r="D7" s="33" t="n">
        <f aca="false">Mitglieder!D11</f>
        <v>546.9947</v>
      </c>
      <c r="E7" s="33" t="n">
        <f aca="false">Mitglieder!E11</f>
        <v>674.9608166</v>
      </c>
      <c r="F7" s="33" t="n">
        <f aca="false">Mitglieder!F11</f>
        <v>780.1116786348</v>
      </c>
      <c r="G7" s="33" t="n">
        <f aca="false">Mitglieder!G11</f>
        <v>862.949221704834</v>
      </c>
      <c r="H7" s="33" t="n">
        <f aca="false">Mitglieder!H11</f>
        <v>943.964338827328</v>
      </c>
      <c r="I7" s="33" t="n">
        <f aca="false">Mitglieder!I11</f>
        <v>1023.19712337313</v>
      </c>
      <c r="J7" s="33" t="n">
        <f aca="false">Mitglieder!J11</f>
        <v>1100.68678665892</v>
      </c>
      <c r="K7" s="33" t="n">
        <f aca="false">Mitglieder!K11</f>
        <v>1176.47167735242</v>
      </c>
      <c r="L7" s="33" t="n">
        <f aca="false">Mitglieder!L11</f>
        <v>1250.58930045067</v>
      </c>
      <c r="M7" s="33" t="n">
        <f aca="false">Mitglieder!M11</f>
        <v>1323.07633584075</v>
      </c>
      <c r="N7" s="33" t="n">
        <f aca="false">Mitglieder!N11</f>
        <v>1393.96865645226</v>
      </c>
      <c r="O7" s="33" t="n">
        <f aca="false">Mitglieder!O11</f>
        <v>1458.30134601031</v>
      </c>
      <c r="P7" s="33" t="n">
        <f aca="false">Mitglieder!P11</f>
        <v>1516.21871639808</v>
      </c>
      <c r="Q7" s="33" t="n">
        <f aca="false">Mitglieder!Q11</f>
        <v>1572.86190463732</v>
      </c>
      <c r="R7" s="33" t="n">
        <f aca="false">Mitglieder!R11</f>
        <v>1628.2589427353</v>
      </c>
      <c r="S7" s="33" t="n">
        <f aca="false">Mitglieder!S11</f>
        <v>1682.43724599513</v>
      </c>
      <c r="T7" s="33" t="n">
        <f aca="false">Mitglieder!T11</f>
        <v>1735.42362658323</v>
      </c>
      <c r="U7" s="33" t="n">
        <f aca="false">Mitglieder!U11</f>
        <v>1787.2443067984</v>
      </c>
      <c r="V7" s="33" t="n">
        <f aca="false">Mitglieder!V11</f>
        <v>1837.92493204884</v>
      </c>
      <c r="W7" s="33" t="n">
        <f aca="false">Mitglieder!W11</f>
        <v>1887.49058354376</v>
      </c>
      <c r="X7" s="33" t="n">
        <f aca="false">Mitglieder!X11</f>
        <v>1935.9657907058</v>
      </c>
      <c r="Y7" s="33" t="n">
        <f aca="false">Mitglieder!Y11</f>
        <v>1983.37454331027</v>
      </c>
      <c r="Z7" s="33" t="n">
        <f aca="false">Mitglieder!Z11</f>
        <v>2029.74030335745</v>
      </c>
      <c r="AA7" s="33" t="n">
        <f aca="false">Mitglieder!AA11</f>
        <v>2070.08601668358</v>
      </c>
      <c r="AB7" s="33" t="n">
        <f aca="false">Mitglieder!AB11</f>
        <v>2104.54412431654</v>
      </c>
      <c r="AC7" s="33" t="n">
        <f aca="false">Mitglieder!AC11</f>
        <v>2138.24415358158</v>
      </c>
      <c r="AD7" s="33" t="n">
        <f aca="false">Mitglieder!AD11</f>
        <v>2171.20278220279</v>
      </c>
      <c r="AE7" s="33" t="n">
        <f aca="false">Mitglieder!AE11</f>
        <v>2193.74940394051</v>
      </c>
      <c r="AF7" s="33" t="n">
        <f aca="false">Mitglieder!AF11</f>
        <v>2200</v>
      </c>
      <c r="AG7" s="33" t="n">
        <f aca="false">Mitglieder!AG11</f>
        <v>2200</v>
      </c>
      <c r="AH7" s="33" t="n">
        <f aca="false">Mitglieder!AH11</f>
        <v>2200</v>
      </c>
      <c r="AI7" s="33" t="n">
        <f aca="false">Mitglieder!AI11</f>
        <v>2200</v>
      </c>
      <c r="AJ7" s="33" t="n">
        <f aca="false">Mitglieder!AJ11</f>
        <v>2200</v>
      </c>
      <c r="AK7" s="33" t="n">
        <f aca="false">Mitglieder!AK11</f>
        <v>2200</v>
      </c>
      <c r="AL7" s="33" t="n">
        <f aca="false">Mitglieder!AL11</f>
        <v>2200</v>
      </c>
      <c r="AM7" s="33" t="n">
        <f aca="false">Mitglieder!AM11</f>
        <v>2200</v>
      </c>
      <c r="AN7" s="33" t="n">
        <f aca="false">Mitglieder!AN11</f>
        <v>2200</v>
      </c>
      <c r="AO7" s="33" t="n">
        <f aca="false">Mitglieder!AO11</f>
        <v>2200</v>
      </c>
      <c r="AP7" s="33" t="n">
        <f aca="false">Mitglieder!AP11</f>
        <v>2200</v>
      </c>
      <c r="AQ7" s="33" t="n">
        <f aca="false">Mitglieder!AQ11</f>
        <v>2200</v>
      </c>
      <c r="AR7" s="33" t="n">
        <f aca="false">Mitglieder!AR11</f>
        <v>2200</v>
      </c>
      <c r="AS7" s="33" t="n">
        <f aca="false">Mitglieder!AS11</f>
        <v>2200</v>
      </c>
      <c r="AT7" s="33" t="n">
        <f aca="false">Mitglieder!AT11</f>
        <v>2200</v>
      </c>
      <c r="AU7" s="33" t="n">
        <f aca="false">Mitglieder!AU11</f>
        <v>2200</v>
      </c>
      <c r="AV7" s="33" t="n">
        <f aca="false">Mitglieder!AV11</f>
        <v>2200</v>
      </c>
      <c r="AW7" s="33" t="n">
        <f aca="false">Mitglieder!AW11</f>
        <v>2200</v>
      </c>
      <c r="AX7" s="33" t="n">
        <f aca="false">Mitglieder!AX11</f>
        <v>2200</v>
      </c>
      <c r="AY7" s="33" t="n">
        <f aca="false">Mitglieder!AY11</f>
        <v>2200</v>
      </c>
      <c r="AZ7" s="33" t="n">
        <f aca="false">Mitglieder!AZ11</f>
        <v>2200</v>
      </c>
      <c r="BA7" s="33" t="n">
        <f aca="false">Mitglieder!BA11</f>
        <v>2200</v>
      </c>
      <c r="BB7" s="33" t="n">
        <f aca="false">Mitglieder!BB11</f>
        <v>2200</v>
      </c>
      <c r="BC7" s="33" t="n">
        <f aca="false">Mitglieder!BC11</f>
        <v>2200</v>
      </c>
      <c r="BD7" s="33" t="n">
        <f aca="false">Mitglieder!BD11</f>
        <v>2200</v>
      </c>
      <c r="BE7" s="33" t="n">
        <f aca="false">Mitglieder!BE11</f>
        <v>2200</v>
      </c>
      <c r="BF7" s="33" t="n">
        <f aca="false">Mitglieder!BF11</f>
        <v>2200</v>
      </c>
      <c r="BG7" s="33" t="n">
        <f aca="false">Mitglieder!BG11</f>
        <v>2200</v>
      </c>
      <c r="BH7" s="33" t="n">
        <f aca="false">Mitglieder!BH11</f>
        <v>2200</v>
      </c>
      <c r="BI7" s="33" t="n">
        <f aca="false">Mitglieder!BI11</f>
        <v>2200</v>
      </c>
      <c r="BJ7" s="33" t="n">
        <f aca="false">Mitglieder!BJ11</f>
        <v>2200</v>
      </c>
    </row>
    <row r="8" customFormat="false" ht="15" hidden="false" customHeight="false" outlineLevel="0" collapsed="false">
      <c r="B8" s="2" t="s">
        <v>353</v>
      </c>
      <c r="C8" s="20" t="n">
        <f aca="false">ARPU_brutto*(1+Beitrag_Erhoehung)^MAX(0,C$5-2)</f>
        <v>50.15</v>
      </c>
      <c r="D8" s="20" t="n">
        <f aca="false">ARPU_brutto*(1+Beitrag_Erhoehung)^MAX(0,D$5-2)</f>
        <v>50.15</v>
      </c>
      <c r="E8" s="20" t="n">
        <f aca="false">ARPU_brutto*(1+Beitrag_Erhoehung)^MAX(0,E$5-2)</f>
        <v>50.15</v>
      </c>
      <c r="F8" s="20" t="n">
        <f aca="false">ARPU_brutto*(1+Beitrag_Erhoehung)^MAX(0,F$5-2)</f>
        <v>50.15</v>
      </c>
      <c r="G8" s="20" t="n">
        <f aca="false">ARPU_brutto*(1+Beitrag_Erhoehung)^MAX(0,G$5-2)</f>
        <v>50.15</v>
      </c>
      <c r="H8" s="20" t="n">
        <f aca="false">ARPU_brutto*(1+Beitrag_Erhoehung)^MAX(0,H$5-2)</f>
        <v>50.15</v>
      </c>
      <c r="I8" s="20" t="n">
        <f aca="false">ARPU_brutto*(1+Beitrag_Erhoehung)^MAX(0,I$5-2)</f>
        <v>50.15</v>
      </c>
      <c r="J8" s="20" t="n">
        <f aca="false">ARPU_brutto*(1+Beitrag_Erhoehung)^MAX(0,J$5-2)</f>
        <v>50.15</v>
      </c>
      <c r="K8" s="20" t="n">
        <f aca="false">ARPU_brutto*(1+Beitrag_Erhoehung)^MAX(0,K$5-2)</f>
        <v>50.15</v>
      </c>
      <c r="L8" s="20" t="n">
        <f aca="false">ARPU_brutto*(1+Beitrag_Erhoehung)^MAX(0,L$5-2)</f>
        <v>50.15</v>
      </c>
      <c r="M8" s="20" t="n">
        <f aca="false">ARPU_brutto*(1+Beitrag_Erhoehung)^MAX(0,M$5-2)</f>
        <v>50.15</v>
      </c>
      <c r="N8" s="20" t="n">
        <f aca="false">ARPU_brutto*(1+Beitrag_Erhoehung)^MAX(0,N$5-2)</f>
        <v>50.15</v>
      </c>
      <c r="O8" s="20" t="n">
        <f aca="false">ARPU_brutto*(1+Beitrag_Erhoehung)^MAX(0,O$5-2)</f>
        <v>50.15</v>
      </c>
      <c r="P8" s="20" t="n">
        <f aca="false">ARPU_brutto*(1+Beitrag_Erhoehung)^MAX(0,P$5-2)</f>
        <v>50.15</v>
      </c>
      <c r="Q8" s="20" t="n">
        <f aca="false">ARPU_brutto*(1+Beitrag_Erhoehung)^MAX(0,Q$5-2)</f>
        <v>50.15</v>
      </c>
      <c r="R8" s="20" t="n">
        <f aca="false">ARPU_brutto*(1+Beitrag_Erhoehung)^MAX(0,R$5-2)</f>
        <v>50.15</v>
      </c>
      <c r="S8" s="20" t="n">
        <f aca="false">ARPU_brutto*(1+Beitrag_Erhoehung)^MAX(0,S$5-2)</f>
        <v>50.15</v>
      </c>
      <c r="T8" s="20" t="n">
        <f aca="false">ARPU_brutto*(1+Beitrag_Erhoehung)^MAX(0,T$5-2)</f>
        <v>50.15</v>
      </c>
      <c r="U8" s="20" t="n">
        <f aca="false">ARPU_brutto*(1+Beitrag_Erhoehung)^MAX(0,U$5-2)</f>
        <v>50.15</v>
      </c>
      <c r="V8" s="20" t="n">
        <f aca="false">ARPU_brutto*(1+Beitrag_Erhoehung)^MAX(0,V$5-2)</f>
        <v>50.15</v>
      </c>
      <c r="W8" s="20" t="n">
        <f aca="false">ARPU_brutto*(1+Beitrag_Erhoehung)^MAX(0,W$5-2)</f>
        <v>50.15</v>
      </c>
      <c r="X8" s="20" t="n">
        <f aca="false">ARPU_brutto*(1+Beitrag_Erhoehung)^MAX(0,X$5-2)</f>
        <v>50.15</v>
      </c>
      <c r="Y8" s="20" t="n">
        <f aca="false">ARPU_brutto*(1+Beitrag_Erhoehung)^MAX(0,Y$5-2)</f>
        <v>50.15</v>
      </c>
      <c r="Z8" s="20" t="n">
        <f aca="false">ARPU_brutto*(1+Beitrag_Erhoehung)^MAX(0,Z$5-2)</f>
        <v>50.15</v>
      </c>
      <c r="AA8" s="20" t="n">
        <f aca="false">ARPU_brutto*(1+Beitrag_Erhoehung)^MAX(0,AA$5-2)</f>
        <v>51.153</v>
      </c>
      <c r="AB8" s="20" t="n">
        <f aca="false">ARPU_brutto*(1+Beitrag_Erhoehung)^MAX(0,AB$5-2)</f>
        <v>51.153</v>
      </c>
      <c r="AC8" s="20" t="n">
        <f aca="false">ARPU_brutto*(1+Beitrag_Erhoehung)^MAX(0,AC$5-2)</f>
        <v>51.153</v>
      </c>
      <c r="AD8" s="20" t="n">
        <f aca="false">ARPU_brutto*(1+Beitrag_Erhoehung)^MAX(0,AD$5-2)</f>
        <v>51.153</v>
      </c>
      <c r="AE8" s="20" t="n">
        <f aca="false">ARPU_brutto*(1+Beitrag_Erhoehung)^MAX(0,AE$5-2)</f>
        <v>51.153</v>
      </c>
      <c r="AF8" s="20" t="n">
        <f aca="false">ARPU_brutto*(1+Beitrag_Erhoehung)^MAX(0,AF$5-2)</f>
        <v>51.153</v>
      </c>
      <c r="AG8" s="20" t="n">
        <f aca="false">ARPU_brutto*(1+Beitrag_Erhoehung)^MAX(0,AG$5-2)</f>
        <v>51.153</v>
      </c>
      <c r="AH8" s="20" t="n">
        <f aca="false">ARPU_brutto*(1+Beitrag_Erhoehung)^MAX(0,AH$5-2)</f>
        <v>51.153</v>
      </c>
      <c r="AI8" s="20" t="n">
        <f aca="false">ARPU_brutto*(1+Beitrag_Erhoehung)^MAX(0,AI$5-2)</f>
        <v>51.153</v>
      </c>
      <c r="AJ8" s="20" t="n">
        <f aca="false">ARPU_brutto*(1+Beitrag_Erhoehung)^MAX(0,AJ$5-2)</f>
        <v>51.153</v>
      </c>
      <c r="AK8" s="20" t="n">
        <f aca="false">ARPU_brutto*(1+Beitrag_Erhoehung)^MAX(0,AK$5-2)</f>
        <v>51.153</v>
      </c>
      <c r="AL8" s="20" t="n">
        <f aca="false">ARPU_brutto*(1+Beitrag_Erhoehung)^MAX(0,AL$5-2)</f>
        <v>51.153</v>
      </c>
      <c r="AM8" s="20" t="n">
        <f aca="false">ARPU_brutto*(1+Beitrag_Erhoehung)^MAX(0,AM$5-2)</f>
        <v>52.17606</v>
      </c>
      <c r="AN8" s="20" t="n">
        <f aca="false">ARPU_brutto*(1+Beitrag_Erhoehung)^MAX(0,AN$5-2)</f>
        <v>52.17606</v>
      </c>
      <c r="AO8" s="20" t="n">
        <f aca="false">ARPU_brutto*(1+Beitrag_Erhoehung)^MAX(0,AO$5-2)</f>
        <v>52.17606</v>
      </c>
      <c r="AP8" s="20" t="n">
        <f aca="false">ARPU_brutto*(1+Beitrag_Erhoehung)^MAX(0,AP$5-2)</f>
        <v>52.17606</v>
      </c>
      <c r="AQ8" s="20" t="n">
        <f aca="false">ARPU_brutto*(1+Beitrag_Erhoehung)^MAX(0,AQ$5-2)</f>
        <v>52.17606</v>
      </c>
      <c r="AR8" s="20" t="n">
        <f aca="false">ARPU_brutto*(1+Beitrag_Erhoehung)^MAX(0,AR$5-2)</f>
        <v>52.17606</v>
      </c>
      <c r="AS8" s="20" t="n">
        <f aca="false">ARPU_brutto*(1+Beitrag_Erhoehung)^MAX(0,AS$5-2)</f>
        <v>52.17606</v>
      </c>
      <c r="AT8" s="20" t="n">
        <f aca="false">ARPU_brutto*(1+Beitrag_Erhoehung)^MAX(0,AT$5-2)</f>
        <v>52.17606</v>
      </c>
      <c r="AU8" s="20" t="n">
        <f aca="false">ARPU_brutto*(1+Beitrag_Erhoehung)^MAX(0,AU$5-2)</f>
        <v>52.17606</v>
      </c>
      <c r="AV8" s="20" t="n">
        <f aca="false">ARPU_brutto*(1+Beitrag_Erhoehung)^MAX(0,AV$5-2)</f>
        <v>52.17606</v>
      </c>
      <c r="AW8" s="20" t="n">
        <f aca="false">ARPU_brutto*(1+Beitrag_Erhoehung)^MAX(0,AW$5-2)</f>
        <v>52.17606</v>
      </c>
      <c r="AX8" s="20" t="n">
        <f aca="false">ARPU_brutto*(1+Beitrag_Erhoehung)^MAX(0,AX$5-2)</f>
        <v>52.17606</v>
      </c>
      <c r="AY8" s="20" t="n">
        <f aca="false">ARPU_brutto*(1+Beitrag_Erhoehung)^MAX(0,AY$5-2)</f>
        <v>53.2195812</v>
      </c>
      <c r="AZ8" s="20" t="n">
        <f aca="false">ARPU_brutto*(1+Beitrag_Erhoehung)^MAX(0,AZ$5-2)</f>
        <v>53.2195812</v>
      </c>
      <c r="BA8" s="20" t="n">
        <f aca="false">ARPU_brutto*(1+Beitrag_Erhoehung)^MAX(0,BA$5-2)</f>
        <v>53.2195812</v>
      </c>
      <c r="BB8" s="20" t="n">
        <f aca="false">ARPU_brutto*(1+Beitrag_Erhoehung)^MAX(0,BB$5-2)</f>
        <v>53.2195812</v>
      </c>
      <c r="BC8" s="20" t="n">
        <f aca="false">ARPU_brutto*(1+Beitrag_Erhoehung)^MAX(0,BC$5-2)</f>
        <v>53.2195812</v>
      </c>
      <c r="BD8" s="20" t="n">
        <f aca="false">ARPU_brutto*(1+Beitrag_Erhoehung)^MAX(0,BD$5-2)</f>
        <v>53.2195812</v>
      </c>
      <c r="BE8" s="20" t="n">
        <f aca="false">ARPU_brutto*(1+Beitrag_Erhoehung)^MAX(0,BE$5-2)</f>
        <v>53.2195812</v>
      </c>
      <c r="BF8" s="20" t="n">
        <f aca="false">ARPU_brutto*(1+Beitrag_Erhoehung)^MAX(0,BF$5-2)</f>
        <v>53.2195812</v>
      </c>
      <c r="BG8" s="20" t="n">
        <f aca="false">ARPU_brutto*(1+Beitrag_Erhoehung)^MAX(0,BG$5-2)</f>
        <v>53.2195812</v>
      </c>
      <c r="BH8" s="20" t="n">
        <f aca="false">ARPU_brutto*(1+Beitrag_Erhoehung)^MAX(0,BH$5-2)</f>
        <v>53.2195812</v>
      </c>
      <c r="BI8" s="20" t="n">
        <f aca="false">ARPU_brutto*(1+Beitrag_Erhoehung)^MAX(0,BI$5-2)</f>
        <v>53.2195812</v>
      </c>
      <c r="BJ8" s="20" t="n">
        <f aca="false">ARPU_brutto*(1+Beitrag_Erhoehung)^MAX(0,BJ$5-2)</f>
        <v>53.2195812</v>
      </c>
    </row>
    <row r="9" customFormat="false" ht="15" hidden="false" customHeight="false" outlineLevel="0" collapsed="false">
      <c r="B9" s="2" t="s">
        <v>354</v>
      </c>
      <c r="C9" s="25" t="n">
        <f aca="false">C7*C8/(1+UST)</f>
        <v>17537.75</v>
      </c>
      <c r="D9" s="25" t="n">
        <f aca="false">D7*D8/(1+UST)</f>
        <v>23051.9195</v>
      </c>
      <c r="E9" s="25" t="n">
        <f aca="false">E7*E8/(1+UST)</f>
        <v>28444.777271</v>
      </c>
      <c r="F9" s="25" t="n">
        <f aca="false">F7*F8/(1+UST)</f>
        <v>32876.1350281809</v>
      </c>
      <c r="G9" s="25" t="n">
        <f aca="false">G7*G8/(1+UST)</f>
        <v>36367.1457718466</v>
      </c>
      <c r="H9" s="25" t="n">
        <f aca="false">H7*H8/(1+UST)</f>
        <v>39781.3542791517</v>
      </c>
      <c r="I9" s="25" t="n">
        <f aca="false">I7*I8/(1+UST)</f>
        <v>43120.4501992961</v>
      </c>
      <c r="J9" s="25" t="n">
        <f aca="false">J7*J8/(1+UST)</f>
        <v>46386.0860091973</v>
      </c>
      <c r="K9" s="25" t="n">
        <f aca="false">K7*K8/(1+UST)</f>
        <v>49579.8778312806</v>
      </c>
      <c r="L9" s="25" t="n">
        <f aca="false">L7*L8/(1+UST)</f>
        <v>52703.4062332782</v>
      </c>
      <c r="M9" s="25" t="n">
        <f aca="false">M7*M8/(1+UST)</f>
        <v>55758.2170104318</v>
      </c>
      <c r="N9" s="25" t="n">
        <f aca="false">N7*N8/(1+UST)</f>
        <v>58745.821950488</v>
      </c>
      <c r="O9" s="25" t="n">
        <f aca="false">O7*O8/(1+UST)</f>
        <v>61456.9852961487</v>
      </c>
      <c r="P9" s="25" t="n">
        <f aca="false">P7*P8/(1+UST)</f>
        <v>63897.7887624906</v>
      </c>
      <c r="Q9" s="25" t="n">
        <f aca="false">Q7*Q8/(1+UST)</f>
        <v>66284.8945525729</v>
      </c>
      <c r="R9" s="25" t="n">
        <f aca="false">R7*R8/(1+UST)</f>
        <v>68619.4840152735</v>
      </c>
      <c r="S9" s="25" t="n">
        <f aca="false">S7*S8/(1+UST)</f>
        <v>70902.7125097946</v>
      </c>
      <c r="T9" s="25" t="n">
        <f aca="false">T7*T8/(1+UST)</f>
        <v>73135.7099774362</v>
      </c>
      <c r="U9" s="25" t="n">
        <f aca="false">U7*U8/(1+UST)</f>
        <v>75319.5815007898</v>
      </c>
      <c r="V9" s="25" t="n">
        <f aca="false">V7*V8/(1+UST)</f>
        <v>77455.4078506296</v>
      </c>
      <c r="W9" s="25" t="n">
        <f aca="false">W7*W8/(1+UST)</f>
        <v>79544.2460207728</v>
      </c>
      <c r="X9" s="25" t="n">
        <f aca="false">X7*X8/(1+UST)</f>
        <v>81587.129751173</v>
      </c>
      <c r="Y9" s="25" t="n">
        <f aca="false">Y7*Y8/(1+UST)</f>
        <v>83585.0700395043</v>
      </c>
      <c r="Z9" s="25" t="n">
        <f aca="false">Z7*Z8/(1+UST)</f>
        <v>85539.0556414924</v>
      </c>
      <c r="AA9" s="25" t="n">
        <f aca="false">AA7*AA8/(1+UST)</f>
        <v>88984.1260600129</v>
      </c>
      <c r="AB9" s="25" t="n">
        <f aca="false">AB7*AB8/(1+UST)</f>
        <v>90465.3324295497</v>
      </c>
      <c r="AC9" s="25" t="n">
        <f aca="false">AC7*AC8/(1+UST)</f>
        <v>91913.9522589568</v>
      </c>
      <c r="AD9" s="25" t="n">
        <f aca="false">AD7*AD8/(1+UST)</f>
        <v>93330.7024521169</v>
      </c>
      <c r="AE9" s="25" t="n">
        <f aca="false">AE7*AE8/(1+UST)</f>
        <v>94299.8850922427</v>
      </c>
      <c r="AF9" s="25" t="n">
        <f aca="false">AF7*AF8/(1+UST)</f>
        <v>94568.5714285714</v>
      </c>
      <c r="AG9" s="25" t="n">
        <f aca="false">AG7*AG8/(1+UST)</f>
        <v>94568.5714285714</v>
      </c>
      <c r="AH9" s="25" t="n">
        <f aca="false">AH7*AH8/(1+UST)</f>
        <v>94568.5714285714</v>
      </c>
      <c r="AI9" s="25" t="n">
        <f aca="false">AI7*AI8/(1+UST)</f>
        <v>94568.5714285714</v>
      </c>
      <c r="AJ9" s="25" t="n">
        <f aca="false">AJ7*AJ8/(1+UST)</f>
        <v>94568.5714285714</v>
      </c>
      <c r="AK9" s="25" t="n">
        <f aca="false">AK7*AK8/(1+UST)</f>
        <v>94568.5714285714</v>
      </c>
      <c r="AL9" s="25" t="n">
        <f aca="false">AL7*AL8/(1+UST)</f>
        <v>94568.5714285714</v>
      </c>
      <c r="AM9" s="25" t="n">
        <f aca="false">AM7*AM8/(1+UST)</f>
        <v>96459.9428571429</v>
      </c>
      <c r="AN9" s="25" t="n">
        <f aca="false">AN7*AN8/(1+UST)</f>
        <v>96459.9428571429</v>
      </c>
      <c r="AO9" s="25" t="n">
        <f aca="false">AO7*AO8/(1+UST)</f>
        <v>96459.9428571429</v>
      </c>
      <c r="AP9" s="25" t="n">
        <f aca="false">AP7*AP8/(1+UST)</f>
        <v>96459.9428571429</v>
      </c>
      <c r="AQ9" s="25" t="n">
        <f aca="false">AQ7*AQ8/(1+UST)</f>
        <v>96459.9428571429</v>
      </c>
      <c r="AR9" s="25" t="n">
        <f aca="false">AR7*AR8/(1+UST)</f>
        <v>96459.9428571429</v>
      </c>
      <c r="AS9" s="25" t="n">
        <f aca="false">AS7*AS8/(1+UST)</f>
        <v>96459.9428571429</v>
      </c>
      <c r="AT9" s="25" t="n">
        <f aca="false">AT7*AT8/(1+UST)</f>
        <v>96459.9428571429</v>
      </c>
      <c r="AU9" s="25" t="n">
        <f aca="false">AU7*AU8/(1+UST)</f>
        <v>96459.9428571429</v>
      </c>
      <c r="AV9" s="25" t="n">
        <f aca="false">AV7*AV8/(1+UST)</f>
        <v>96459.9428571429</v>
      </c>
      <c r="AW9" s="25" t="n">
        <f aca="false">AW7*AW8/(1+UST)</f>
        <v>96459.9428571429</v>
      </c>
      <c r="AX9" s="25" t="n">
        <f aca="false">AX7*AX8/(1+UST)</f>
        <v>96459.9428571429</v>
      </c>
      <c r="AY9" s="25" t="n">
        <f aca="false">AY7*AY8/(1+UST)</f>
        <v>98389.1417142857</v>
      </c>
      <c r="AZ9" s="25" t="n">
        <f aca="false">AZ7*AZ8/(1+UST)</f>
        <v>98389.1417142857</v>
      </c>
      <c r="BA9" s="25" t="n">
        <f aca="false">BA7*BA8/(1+UST)</f>
        <v>98389.1417142857</v>
      </c>
      <c r="BB9" s="25" t="n">
        <f aca="false">BB7*BB8/(1+UST)</f>
        <v>98389.1417142857</v>
      </c>
      <c r="BC9" s="25" t="n">
        <f aca="false">BC7*BC8/(1+UST)</f>
        <v>98389.1417142857</v>
      </c>
      <c r="BD9" s="25" t="n">
        <f aca="false">BD7*BD8/(1+UST)</f>
        <v>98389.1417142857</v>
      </c>
      <c r="BE9" s="25" t="n">
        <f aca="false">BE7*BE8/(1+UST)</f>
        <v>98389.1417142857</v>
      </c>
      <c r="BF9" s="25" t="n">
        <f aca="false">BF7*BF8/(1+UST)</f>
        <v>98389.1417142857</v>
      </c>
      <c r="BG9" s="25" t="n">
        <f aca="false">BG7*BG8/(1+UST)</f>
        <v>98389.1417142857</v>
      </c>
      <c r="BH9" s="25" t="n">
        <f aca="false">BH7*BH8/(1+UST)</f>
        <v>98389.1417142857</v>
      </c>
      <c r="BI9" s="25" t="n">
        <f aca="false">BI7*BI8/(1+UST)</f>
        <v>98389.1417142857</v>
      </c>
      <c r="BJ9" s="25" t="n">
        <f aca="false">BJ7*BJ8/(1+UST)</f>
        <v>98389.1417142857</v>
      </c>
    </row>
    <row r="10" customFormat="false" ht="15" hidden="false" customHeight="false" outlineLevel="0" collapsed="false">
      <c r="B10" s="2" t="s">
        <v>355</v>
      </c>
      <c r="C10" s="25" t="n">
        <f aca="false">C7*Service_Halbjahr/6/(1+UST)</f>
        <v>1451.27941176471</v>
      </c>
      <c r="D10" s="25" t="n">
        <f aca="false">D7*Service_Halbjahr/6/(1+UST)</f>
        <v>1907.58655882353</v>
      </c>
      <c r="E10" s="25" t="n">
        <f aca="false">E7*Service_Halbjahr/6/(1+UST)</f>
        <v>2353.85494864706</v>
      </c>
      <c r="F10" s="25" t="n">
        <f aca="false">F7*Service_Halbjahr/6/(1+UST)</f>
        <v>2720.55753473481</v>
      </c>
      <c r="G10" s="25" t="n">
        <f aca="false">G7*Service_Halbjahr/6/(1+UST)</f>
        <v>3009.44476476896</v>
      </c>
      <c r="H10" s="25" t="n">
        <f aca="false">H7*Service_Halbjahr/6/(1+UST)</f>
        <v>3291.97647574236</v>
      </c>
      <c r="I10" s="25" t="n">
        <f aca="false">I7*Service_Halbjahr/6/(1+UST)</f>
        <v>3568.29248907435</v>
      </c>
      <c r="J10" s="25" t="n">
        <f aca="false">J7*Service_Halbjahr/6/(1+UST)</f>
        <v>3838.52955011303</v>
      </c>
      <c r="K10" s="25" t="n">
        <f aca="false">K7*Service_Halbjahr/6/(1+UST)</f>
        <v>4102.82139580887</v>
      </c>
      <c r="L10" s="25" t="n">
        <f aca="false">L7*Service_Halbjahr/6/(1+UST)</f>
        <v>4361.29882089939</v>
      </c>
      <c r="M10" s="25" t="n">
        <f aca="false">M7*Service_Halbjahr/6/(1+UST)</f>
        <v>4614.08974263792</v>
      </c>
      <c r="N10" s="25" t="n">
        <f aca="false">N7*Service_Halbjahr/6/(1+UST)</f>
        <v>4861.31926409821</v>
      </c>
      <c r="O10" s="25" t="n">
        <f aca="false">O7*Service_Halbjahr/6/(1+UST)</f>
        <v>5085.67276129645</v>
      </c>
      <c r="P10" s="25" t="n">
        <f aca="false">P7*Service_Halbjahr/6/(1+UST)</f>
        <v>5287.65350676642</v>
      </c>
      <c r="Q10" s="25" t="n">
        <f aca="false">Q7*Service_Halbjahr/6/(1+UST)</f>
        <v>5485.19067583604</v>
      </c>
      <c r="R10" s="25" t="n">
        <f aca="false">R7*Service_Halbjahr/6/(1+UST)</f>
        <v>5678.38202718614</v>
      </c>
      <c r="S10" s="25" t="n">
        <f aca="false">S7*Service_Halbjahr/6/(1+UST)</f>
        <v>5867.32316880653</v>
      </c>
      <c r="T10" s="25" t="n">
        <f aca="false">T7*Service_Halbjahr/6/(1+UST)</f>
        <v>6052.10760531127</v>
      </c>
      <c r="U10" s="25" t="n">
        <f aca="false">U7*Service_Halbjahr/6/(1+UST)</f>
        <v>6232.82678421291</v>
      </c>
      <c r="V10" s="25" t="n">
        <f aca="false">V7*Service_Halbjahr/6/(1+UST)</f>
        <v>6409.57014117872</v>
      </c>
      <c r="W10" s="25" t="n">
        <f aca="false">W7*Service_Halbjahr/6/(1+UST)</f>
        <v>6582.42514429127</v>
      </c>
      <c r="X10" s="25" t="n">
        <f aca="false">X7*Service_Halbjahr/6/(1+UST)</f>
        <v>6751.47733733535</v>
      </c>
      <c r="Y10" s="25" t="n">
        <f aca="false">Y7*Service_Halbjahr/6/(1+UST)</f>
        <v>6916.81038213246</v>
      </c>
      <c r="Z10" s="25" t="n">
        <f aca="false">Z7*Service_Halbjahr/6/(1+UST)</f>
        <v>7078.50609994403</v>
      </c>
      <c r="AA10" s="25" t="n">
        <f aca="false">AA7*Service_Halbjahr/6/(1+UST)</f>
        <v>7219.20753717384</v>
      </c>
      <c r="AB10" s="25" t="n">
        <f aca="false">AB7*Service_Halbjahr/6/(1+UST)</f>
        <v>7339.37656799467</v>
      </c>
      <c r="AC10" s="25" t="n">
        <f aca="false">AC7*Service_Halbjahr/6/(1+UST)</f>
        <v>7456.90188013744</v>
      </c>
      <c r="AD10" s="25" t="n">
        <f aca="false">AD7*Service_Halbjahr/6/(1+UST)</f>
        <v>7571.84163541307</v>
      </c>
      <c r="AE10" s="25" t="n">
        <f aca="false">AE7*Service_Halbjahr/6/(1+UST)</f>
        <v>7650.47061038076</v>
      </c>
      <c r="AF10" s="25" t="n">
        <f aca="false">AF7*Service_Halbjahr/6/(1+UST)</f>
        <v>7672.26890756303</v>
      </c>
      <c r="AG10" s="25" t="n">
        <f aca="false">AG7*Service_Halbjahr/6/(1+UST)</f>
        <v>7672.26890756303</v>
      </c>
      <c r="AH10" s="25" t="n">
        <f aca="false">AH7*Service_Halbjahr/6/(1+UST)</f>
        <v>7672.26890756303</v>
      </c>
      <c r="AI10" s="25" t="n">
        <f aca="false">AI7*Service_Halbjahr/6/(1+UST)</f>
        <v>7672.26890756303</v>
      </c>
      <c r="AJ10" s="25" t="n">
        <f aca="false">AJ7*Service_Halbjahr/6/(1+UST)</f>
        <v>7672.26890756303</v>
      </c>
      <c r="AK10" s="25" t="n">
        <f aca="false">AK7*Service_Halbjahr/6/(1+UST)</f>
        <v>7672.26890756303</v>
      </c>
      <c r="AL10" s="25" t="n">
        <f aca="false">AL7*Service_Halbjahr/6/(1+UST)</f>
        <v>7672.26890756303</v>
      </c>
      <c r="AM10" s="25" t="n">
        <f aca="false">AM7*Service_Halbjahr/6/(1+UST)</f>
        <v>7672.26890756303</v>
      </c>
      <c r="AN10" s="25" t="n">
        <f aca="false">AN7*Service_Halbjahr/6/(1+UST)</f>
        <v>7672.26890756303</v>
      </c>
      <c r="AO10" s="25" t="n">
        <f aca="false">AO7*Service_Halbjahr/6/(1+UST)</f>
        <v>7672.26890756303</v>
      </c>
      <c r="AP10" s="25" t="n">
        <f aca="false">AP7*Service_Halbjahr/6/(1+UST)</f>
        <v>7672.26890756303</v>
      </c>
      <c r="AQ10" s="25" t="n">
        <f aca="false">AQ7*Service_Halbjahr/6/(1+UST)</f>
        <v>7672.26890756303</v>
      </c>
      <c r="AR10" s="25" t="n">
        <f aca="false">AR7*Service_Halbjahr/6/(1+UST)</f>
        <v>7672.26890756303</v>
      </c>
      <c r="AS10" s="25" t="n">
        <f aca="false">AS7*Service_Halbjahr/6/(1+UST)</f>
        <v>7672.26890756303</v>
      </c>
      <c r="AT10" s="25" t="n">
        <f aca="false">AT7*Service_Halbjahr/6/(1+UST)</f>
        <v>7672.26890756303</v>
      </c>
      <c r="AU10" s="25" t="n">
        <f aca="false">AU7*Service_Halbjahr/6/(1+UST)</f>
        <v>7672.26890756303</v>
      </c>
      <c r="AV10" s="25" t="n">
        <f aca="false">AV7*Service_Halbjahr/6/(1+UST)</f>
        <v>7672.26890756303</v>
      </c>
      <c r="AW10" s="25" t="n">
        <f aca="false">AW7*Service_Halbjahr/6/(1+UST)</f>
        <v>7672.26890756303</v>
      </c>
      <c r="AX10" s="25" t="n">
        <f aca="false">AX7*Service_Halbjahr/6/(1+UST)</f>
        <v>7672.26890756303</v>
      </c>
      <c r="AY10" s="25" t="n">
        <f aca="false">AY7*Service_Halbjahr/6/(1+UST)</f>
        <v>7672.26890756303</v>
      </c>
      <c r="AZ10" s="25" t="n">
        <f aca="false">AZ7*Service_Halbjahr/6/(1+UST)</f>
        <v>7672.26890756303</v>
      </c>
      <c r="BA10" s="25" t="n">
        <f aca="false">BA7*Service_Halbjahr/6/(1+UST)</f>
        <v>7672.26890756303</v>
      </c>
      <c r="BB10" s="25" t="n">
        <f aca="false">BB7*Service_Halbjahr/6/(1+UST)</f>
        <v>7672.26890756303</v>
      </c>
      <c r="BC10" s="25" t="n">
        <f aca="false">BC7*Service_Halbjahr/6/(1+UST)</f>
        <v>7672.26890756303</v>
      </c>
      <c r="BD10" s="25" t="n">
        <f aca="false">BD7*Service_Halbjahr/6/(1+UST)</f>
        <v>7672.26890756303</v>
      </c>
      <c r="BE10" s="25" t="n">
        <f aca="false">BE7*Service_Halbjahr/6/(1+UST)</f>
        <v>7672.26890756303</v>
      </c>
      <c r="BF10" s="25" t="n">
        <f aca="false">BF7*Service_Halbjahr/6/(1+UST)</f>
        <v>7672.26890756303</v>
      </c>
      <c r="BG10" s="25" t="n">
        <f aca="false">BG7*Service_Halbjahr/6/(1+UST)</f>
        <v>7672.26890756303</v>
      </c>
      <c r="BH10" s="25" t="n">
        <f aca="false">BH7*Service_Halbjahr/6/(1+UST)</f>
        <v>7672.26890756303</v>
      </c>
      <c r="BI10" s="25" t="n">
        <f aca="false">BI7*Service_Halbjahr/6/(1+UST)</f>
        <v>7672.26890756303</v>
      </c>
      <c r="BJ10" s="25" t="n">
        <f aca="false">BJ7*Service_Halbjahr/6/(1+UST)</f>
        <v>7672.26890756303</v>
      </c>
    </row>
    <row r="11" customFormat="false" ht="15" hidden="false" customHeight="false" outlineLevel="0" collapsed="false">
      <c r="B11" s="2" t="s">
        <v>356</v>
      </c>
      <c r="C11" s="25" t="n">
        <f aca="false">Mitglieder!C8*Aufnahme_Anteil*Aufnahme/(1+UST)</f>
        <v>4035.29411764706</v>
      </c>
      <c r="D11" s="25" t="n">
        <f aca="false">Mitglieder!D8*Aufnahme_Anteil*Aufnahme/(1+UST)</f>
        <v>4035.29411764706</v>
      </c>
      <c r="E11" s="25" t="n">
        <f aca="false">Mitglieder!E8*Aufnahme_Anteil*Aufnahme/(1+UST)</f>
        <v>4035.29411764706</v>
      </c>
      <c r="F11" s="25" t="n">
        <f aca="false">Mitglieder!F8*Aufnahme_Anteil*Aufnahme/(1+UST)</f>
        <v>2882.35294117647</v>
      </c>
      <c r="G11" s="25" t="n">
        <f aca="false">Mitglieder!G8*Aufnahme_Anteil*Aufnahme/(1+UST)</f>
        <v>2882.35294117647</v>
      </c>
      <c r="H11" s="25" t="n">
        <f aca="false">Mitglieder!H8*Aufnahme_Anteil*Aufnahme/(1+UST)</f>
        <v>2882.35294117647</v>
      </c>
      <c r="I11" s="25" t="n">
        <f aca="false">Mitglieder!I8*Aufnahme_Anteil*Aufnahme/(1+UST)</f>
        <v>2882.35294117647</v>
      </c>
      <c r="J11" s="25" t="n">
        <f aca="false">Mitglieder!J8*Aufnahme_Anteil*Aufnahme/(1+UST)</f>
        <v>2882.35294117647</v>
      </c>
      <c r="K11" s="25" t="n">
        <f aca="false">Mitglieder!K8*Aufnahme_Anteil*Aufnahme/(1+UST)</f>
        <v>2882.35294117647</v>
      </c>
      <c r="L11" s="25" t="n">
        <f aca="false">Mitglieder!L8*Aufnahme_Anteil*Aufnahme/(1+UST)</f>
        <v>2882.35294117647</v>
      </c>
      <c r="M11" s="25" t="n">
        <f aca="false">Mitglieder!M8*Aufnahme_Anteil*Aufnahme/(1+UST)</f>
        <v>2882.35294117647</v>
      </c>
      <c r="N11" s="25" t="n">
        <f aca="false">Mitglieder!N8*Aufnahme_Anteil*Aufnahme/(1+UST)</f>
        <v>2882.35294117647</v>
      </c>
      <c r="O11" s="25" t="n">
        <f aca="false">Mitglieder!O8*Aufnahme_Anteil*Aufnahme/(1+UST)</f>
        <v>2594.11764705882</v>
      </c>
      <c r="P11" s="25" t="n">
        <f aca="false">Mitglieder!P8*Aufnahme_Anteil*Aufnahme/(1+UST)</f>
        <v>2594.11764705882</v>
      </c>
      <c r="Q11" s="25" t="n">
        <f aca="false">Mitglieder!Q8*Aufnahme_Anteil*Aufnahme/(1+UST)</f>
        <v>2594.11764705882</v>
      </c>
      <c r="R11" s="25" t="n">
        <f aca="false">Mitglieder!R8*Aufnahme_Anteil*Aufnahme/(1+UST)</f>
        <v>2594.11764705882</v>
      </c>
      <c r="S11" s="25" t="n">
        <f aca="false">Mitglieder!S8*Aufnahme_Anteil*Aufnahme/(1+UST)</f>
        <v>2594.11764705882</v>
      </c>
      <c r="T11" s="25" t="n">
        <f aca="false">Mitglieder!T8*Aufnahme_Anteil*Aufnahme/(1+UST)</f>
        <v>2594.11764705882</v>
      </c>
      <c r="U11" s="25" t="n">
        <f aca="false">Mitglieder!U8*Aufnahme_Anteil*Aufnahme/(1+UST)</f>
        <v>2594.11764705882</v>
      </c>
      <c r="V11" s="25" t="n">
        <f aca="false">Mitglieder!V8*Aufnahme_Anteil*Aufnahme/(1+UST)</f>
        <v>2594.11764705882</v>
      </c>
      <c r="W11" s="25" t="n">
        <f aca="false">Mitglieder!W8*Aufnahme_Anteil*Aufnahme/(1+UST)</f>
        <v>2594.11764705882</v>
      </c>
      <c r="X11" s="25" t="n">
        <f aca="false">Mitglieder!X8*Aufnahme_Anteil*Aufnahme/(1+UST)</f>
        <v>2594.11764705882</v>
      </c>
      <c r="Y11" s="25" t="n">
        <f aca="false">Mitglieder!Y8*Aufnahme_Anteil*Aufnahme/(1+UST)</f>
        <v>2594.11764705882</v>
      </c>
      <c r="Z11" s="25" t="n">
        <f aca="false">Mitglieder!Z8*Aufnahme_Anteil*Aufnahme/(1+UST)</f>
        <v>2594.11764705882</v>
      </c>
      <c r="AA11" s="25" t="n">
        <f aca="false">Mitglieder!AA8*Aufnahme_Anteil*Aufnahme/(1+UST)</f>
        <v>2305.88235294118</v>
      </c>
      <c r="AB11" s="25" t="n">
        <f aca="false">Mitglieder!AB8*Aufnahme_Anteil*Aufnahme/(1+UST)</f>
        <v>2305.88235294118</v>
      </c>
      <c r="AC11" s="25" t="n">
        <f aca="false">Mitglieder!AC8*Aufnahme_Anteil*Aufnahme/(1+UST)</f>
        <v>2305.88235294118</v>
      </c>
      <c r="AD11" s="25" t="n">
        <f aca="false">Mitglieder!AD8*Aufnahme_Anteil*Aufnahme/(1+UST)</f>
        <v>2305.88235294118</v>
      </c>
      <c r="AE11" s="25" t="n">
        <f aca="false">Mitglieder!AE8*Aufnahme_Anteil*Aufnahme/(1+UST)</f>
        <v>2305.88235294118</v>
      </c>
      <c r="AF11" s="25" t="n">
        <f aca="false">Mitglieder!AF8*Aufnahme_Anteil*Aufnahme/(1+UST)</f>
        <v>2305.88235294118</v>
      </c>
      <c r="AG11" s="25" t="n">
        <f aca="false">Mitglieder!AG8*Aufnahme_Anteil*Aufnahme/(1+UST)</f>
        <v>2305.88235294118</v>
      </c>
      <c r="AH11" s="25" t="n">
        <f aca="false">Mitglieder!AH8*Aufnahme_Anteil*Aufnahme/(1+UST)</f>
        <v>2305.88235294118</v>
      </c>
      <c r="AI11" s="25" t="n">
        <f aca="false">Mitglieder!AI8*Aufnahme_Anteil*Aufnahme/(1+UST)</f>
        <v>2305.88235294118</v>
      </c>
      <c r="AJ11" s="25" t="n">
        <f aca="false">Mitglieder!AJ8*Aufnahme_Anteil*Aufnahme/(1+UST)</f>
        <v>2305.88235294118</v>
      </c>
      <c r="AK11" s="25" t="n">
        <f aca="false">Mitglieder!AK8*Aufnahme_Anteil*Aufnahme/(1+UST)</f>
        <v>2305.88235294118</v>
      </c>
      <c r="AL11" s="25" t="n">
        <f aca="false">Mitglieder!AL8*Aufnahme_Anteil*Aufnahme/(1+UST)</f>
        <v>2305.88235294118</v>
      </c>
      <c r="AM11" s="25" t="n">
        <f aca="false">Mitglieder!AM8*Aufnahme_Anteil*Aufnahme/(1+UST)</f>
        <v>2161.76470588235</v>
      </c>
      <c r="AN11" s="25" t="n">
        <f aca="false">Mitglieder!AN8*Aufnahme_Anteil*Aufnahme/(1+UST)</f>
        <v>2161.76470588235</v>
      </c>
      <c r="AO11" s="25" t="n">
        <f aca="false">Mitglieder!AO8*Aufnahme_Anteil*Aufnahme/(1+UST)</f>
        <v>2161.76470588235</v>
      </c>
      <c r="AP11" s="25" t="n">
        <f aca="false">Mitglieder!AP8*Aufnahme_Anteil*Aufnahme/(1+UST)</f>
        <v>2161.76470588235</v>
      </c>
      <c r="AQ11" s="25" t="n">
        <f aca="false">Mitglieder!AQ8*Aufnahme_Anteil*Aufnahme/(1+UST)</f>
        <v>2161.76470588235</v>
      </c>
      <c r="AR11" s="25" t="n">
        <f aca="false">Mitglieder!AR8*Aufnahme_Anteil*Aufnahme/(1+UST)</f>
        <v>2161.76470588235</v>
      </c>
      <c r="AS11" s="25" t="n">
        <f aca="false">Mitglieder!AS8*Aufnahme_Anteil*Aufnahme/(1+UST)</f>
        <v>2161.76470588235</v>
      </c>
      <c r="AT11" s="25" t="n">
        <f aca="false">Mitglieder!AT8*Aufnahme_Anteil*Aufnahme/(1+UST)</f>
        <v>2161.76470588235</v>
      </c>
      <c r="AU11" s="25" t="n">
        <f aca="false">Mitglieder!AU8*Aufnahme_Anteil*Aufnahme/(1+UST)</f>
        <v>2161.76470588235</v>
      </c>
      <c r="AV11" s="25" t="n">
        <f aca="false">Mitglieder!AV8*Aufnahme_Anteil*Aufnahme/(1+UST)</f>
        <v>2161.76470588235</v>
      </c>
      <c r="AW11" s="25" t="n">
        <f aca="false">Mitglieder!AW8*Aufnahme_Anteil*Aufnahme/(1+UST)</f>
        <v>2161.76470588235</v>
      </c>
      <c r="AX11" s="25" t="n">
        <f aca="false">Mitglieder!AX8*Aufnahme_Anteil*Aufnahme/(1+UST)</f>
        <v>2161.76470588235</v>
      </c>
      <c r="AY11" s="25" t="n">
        <f aca="false">Mitglieder!AY8*Aufnahme_Anteil*Aufnahme/(1+UST)</f>
        <v>2161.76470588235</v>
      </c>
      <c r="AZ11" s="25" t="n">
        <f aca="false">Mitglieder!AZ8*Aufnahme_Anteil*Aufnahme/(1+UST)</f>
        <v>2161.76470588235</v>
      </c>
      <c r="BA11" s="25" t="n">
        <f aca="false">Mitglieder!BA8*Aufnahme_Anteil*Aufnahme/(1+UST)</f>
        <v>2161.76470588235</v>
      </c>
      <c r="BB11" s="25" t="n">
        <f aca="false">Mitglieder!BB8*Aufnahme_Anteil*Aufnahme/(1+UST)</f>
        <v>2161.76470588235</v>
      </c>
      <c r="BC11" s="25" t="n">
        <f aca="false">Mitglieder!BC8*Aufnahme_Anteil*Aufnahme/(1+UST)</f>
        <v>2161.76470588235</v>
      </c>
      <c r="BD11" s="25" t="n">
        <f aca="false">Mitglieder!BD8*Aufnahme_Anteil*Aufnahme/(1+UST)</f>
        <v>2161.76470588235</v>
      </c>
      <c r="BE11" s="25" t="n">
        <f aca="false">Mitglieder!BE8*Aufnahme_Anteil*Aufnahme/(1+UST)</f>
        <v>2161.76470588235</v>
      </c>
      <c r="BF11" s="25" t="n">
        <f aca="false">Mitglieder!BF8*Aufnahme_Anteil*Aufnahme/(1+UST)</f>
        <v>2161.76470588235</v>
      </c>
      <c r="BG11" s="25" t="n">
        <f aca="false">Mitglieder!BG8*Aufnahme_Anteil*Aufnahme/(1+UST)</f>
        <v>2161.76470588235</v>
      </c>
      <c r="BH11" s="25" t="n">
        <f aca="false">Mitglieder!BH8*Aufnahme_Anteil*Aufnahme/(1+UST)</f>
        <v>2161.76470588235</v>
      </c>
      <c r="BI11" s="25" t="n">
        <f aca="false">Mitglieder!BI8*Aufnahme_Anteil*Aufnahme/(1+UST)</f>
        <v>2161.76470588235</v>
      </c>
      <c r="BJ11" s="25" t="n">
        <f aca="false">Mitglieder!BJ8*Aufnahme_Anteil*Aufnahme/(1+UST)</f>
        <v>2161.76470588235</v>
      </c>
    </row>
    <row r="12" customFormat="false" ht="15" hidden="false" customHeight="false" outlineLevel="0" collapsed="false">
      <c r="B12" s="2" t="s">
        <v>357</v>
      </c>
      <c r="C12" s="25" t="n">
        <f aca="false">C7*Neben_Getraenke/(1+UST)</f>
        <v>1049.11764705882</v>
      </c>
      <c r="D12" s="25" t="n">
        <f aca="false">D7*Neben_Getraenke/(1+UST)</f>
        <v>1378.97823529412</v>
      </c>
      <c r="E12" s="25" t="n">
        <f aca="false">E7*Neben_Getraenke/(1+UST)</f>
        <v>1701.58189058824</v>
      </c>
      <c r="F12" s="25" t="n">
        <f aca="false">F7*Neben_Getraenke/(1+UST)</f>
        <v>1966.66809739866</v>
      </c>
      <c r="G12" s="25" t="n">
        <f aca="false">G7*Neben_Getraenke/(1+UST)</f>
        <v>2175.50223959202</v>
      </c>
      <c r="H12" s="25" t="n">
        <f aca="false">H7*Neben_Getraenke/(1+UST)</f>
        <v>2379.74203065713</v>
      </c>
      <c r="I12" s="25" t="n">
        <f aca="false">I7*Neben_Getraenke/(1+UST)</f>
        <v>2579.48854631881</v>
      </c>
      <c r="J12" s="25" t="n">
        <f aca="false">J7*Neben_Getraenke/(1+UST)</f>
        <v>2774.84063863593</v>
      </c>
      <c r="K12" s="25" t="n">
        <f aca="false">K7*Neben_Getraenke/(1+UST)</f>
        <v>2965.89498492207</v>
      </c>
      <c r="L12" s="25" t="n">
        <f aca="false">L7*Neben_Getraenke/(1+UST)</f>
        <v>3152.74613558992</v>
      </c>
      <c r="M12" s="25" t="n">
        <f aca="false">M7*Neben_Getraenke/(1+UST)</f>
        <v>3335.48656094308</v>
      </c>
      <c r="N12" s="25" t="n">
        <f aca="false">N7*Neben_Getraenke/(1+UST)</f>
        <v>3514.20669693846</v>
      </c>
      <c r="O12" s="25" t="n">
        <f aca="false">O7*Neben_Getraenke/(1+UST)</f>
        <v>3676.38994792515</v>
      </c>
      <c r="P12" s="25" t="n">
        <f aca="false">P7*Neben_Getraenke/(1+UST)</f>
        <v>3822.40012537331</v>
      </c>
      <c r="Q12" s="25" t="n">
        <f aca="false">Q7*Neben_Getraenke/(1+UST)</f>
        <v>3965.19807891762</v>
      </c>
      <c r="R12" s="25" t="n">
        <f aca="false">R7*Neben_Getraenke/(1+UST)</f>
        <v>4104.85447748396</v>
      </c>
      <c r="S12" s="25" t="n">
        <f aca="false">S7*Neben_Getraenke/(1+UST)</f>
        <v>4241.43843528183</v>
      </c>
      <c r="T12" s="25" t="n">
        <f aca="false">T7*Neben_Getraenke/(1+UST)</f>
        <v>4375.01754600815</v>
      </c>
      <c r="U12" s="25" t="n">
        <f aca="false">U7*Neben_Getraenke/(1+UST)</f>
        <v>4505.65791629849</v>
      </c>
      <c r="V12" s="25" t="n">
        <f aca="false">V7*Neben_Getraenke/(1+UST)</f>
        <v>4633.42419844245</v>
      </c>
      <c r="W12" s="25" t="n">
        <f aca="false">W7*Neben_Getraenke/(1+UST)</f>
        <v>4758.37962237923</v>
      </c>
      <c r="X12" s="25" t="n">
        <f aca="false">X7*Neben_Getraenke/(1+UST)</f>
        <v>4880.58602698941</v>
      </c>
      <c r="Y12" s="25" t="n">
        <f aca="false">Y7*Neben_Getraenke/(1+UST)</f>
        <v>5000.10389069817</v>
      </c>
      <c r="Z12" s="25" t="n">
        <f aca="false">Z7*Neben_Getraenke/(1+UST)</f>
        <v>5116.99236140533</v>
      </c>
      <c r="AA12" s="25" t="n">
        <f aca="false">AA7*Neben_Getraenke/(1+UST)</f>
        <v>5218.70424374013</v>
      </c>
      <c r="AB12" s="25" t="n">
        <f aca="false">AB7*Neben_Getraenke/(1+UST)</f>
        <v>5305.57342264675</v>
      </c>
      <c r="AC12" s="25" t="n">
        <f aca="false">AC7*Neben_Getraenke/(1+UST)</f>
        <v>5390.53147961743</v>
      </c>
      <c r="AD12" s="25" t="n">
        <f aca="false">AD7*Neben_Getraenke/(1+UST)</f>
        <v>5473.62045933475</v>
      </c>
      <c r="AE12" s="25" t="n">
        <f aca="false">AE7*Neben_Getraenke/(1+UST)</f>
        <v>5530.46068220296</v>
      </c>
      <c r="AF12" s="25" t="n">
        <f aca="false">AF7*Neben_Getraenke/(1+UST)</f>
        <v>5546.21848739496</v>
      </c>
      <c r="AG12" s="25" t="n">
        <f aca="false">AG7*Neben_Getraenke/(1+UST)</f>
        <v>5546.21848739496</v>
      </c>
      <c r="AH12" s="25" t="n">
        <f aca="false">AH7*Neben_Getraenke/(1+UST)</f>
        <v>5546.21848739496</v>
      </c>
      <c r="AI12" s="25" t="n">
        <f aca="false">AI7*Neben_Getraenke/(1+UST)</f>
        <v>5546.21848739496</v>
      </c>
      <c r="AJ12" s="25" t="n">
        <f aca="false">AJ7*Neben_Getraenke/(1+UST)</f>
        <v>5546.21848739496</v>
      </c>
      <c r="AK12" s="25" t="n">
        <f aca="false">AK7*Neben_Getraenke/(1+UST)</f>
        <v>5546.21848739496</v>
      </c>
      <c r="AL12" s="25" t="n">
        <f aca="false">AL7*Neben_Getraenke/(1+UST)</f>
        <v>5546.21848739496</v>
      </c>
      <c r="AM12" s="25" t="n">
        <f aca="false">AM7*Neben_Getraenke/(1+UST)</f>
        <v>5546.21848739496</v>
      </c>
      <c r="AN12" s="25" t="n">
        <f aca="false">AN7*Neben_Getraenke/(1+UST)</f>
        <v>5546.21848739496</v>
      </c>
      <c r="AO12" s="25" t="n">
        <f aca="false">AO7*Neben_Getraenke/(1+UST)</f>
        <v>5546.21848739496</v>
      </c>
      <c r="AP12" s="25" t="n">
        <f aca="false">AP7*Neben_Getraenke/(1+UST)</f>
        <v>5546.21848739496</v>
      </c>
      <c r="AQ12" s="25" t="n">
        <f aca="false">AQ7*Neben_Getraenke/(1+UST)</f>
        <v>5546.21848739496</v>
      </c>
      <c r="AR12" s="25" t="n">
        <f aca="false">AR7*Neben_Getraenke/(1+UST)</f>
        <v>5546.21848739496</v>
      </c>
      <c r="AS12" s="25" t="n">
        <f aca="false">AS7*Neben_Getraenke/(1+UST)</f>
        <v>5546.21848739496</v>
      </c>
      <c r="AT12" s="25" t="n">
        <f aca="false">AT7*Neben_Getraenke/(1+UST)</f>
        <v>5546.21848739496</v>
      </c>
      <c r="AU12" s="25" t="n">
        <f aca="false">AU7*Neben_Getraenke/(1+UST)</f>
        <v>5546.21848739496</v>
      </c>
      <c r="AV12" s="25" t="n">
        <f aca="false">AV7*Neben_Getraenke/(1+UST)</f>
        <v>5546.21848739496</v>
      </c>
      <c r="AW12" s="25" t="n">
        <f aca="false">AW7*Neben_Getraenke/(1+UST)</f>
        <v>5546.21848739496</v>
      </c>
      <c r="AX12" s="25" t="n">
        <f aca="false">AX7*Neben_Getraenke/(1+UST)</f>
        <v>5546.21848739496</v>
      </c>
      <c r="AY12" s="25" t="n">
        <f aca="false">AY7*Neben_Getraenke/(1+UST)</f>
        <v>5546.21848739496</v>
      </c>
      <c r="AZ12" s="25" t="n">
        <f aca="false">AZ7*Neben_Getraenke/(1+UST)</f>
        <v>5546.21848739496</v>
      </c>
      <c r="BA12" s="25" t="n">
        <f aca="false">BA7*Neben_Getraenke/(1+UST)</f>
        <v>5546.21848739496</v>
      </c>
      <c r="BB12" s="25" t="n">
        <f aca="false">BB7*Neben_Getraenke/(1+UST)</f>
        <v>5546.21848739496</v>
      </c>
      <c r="BC12" s="25" t="n">
        <f aca="false">BC7*Neben_Getraenke/(1+UST)</f>
        <v>5546.21848739496</v>
      </c>
      <c r="BD12" s="25" t="n">
        <f aca="false">BD7*Neben_Getraenke/(1+UST)</f>
        <v>5546.21848739496</v>
      </c>
      <c r="BE12" s="25" t="n">
        <f aca="false">BE7*Neben_Getraenke/(1+UST)</f>
        <v>5546.21848739496</v>
      </c>
      <c r="BF12" s="25" t="n">
        <f aca="false">BF7*Neben_Getraenke/(1+UST)</f>
        <v>5546.21848739496</v>
      </c>
      <c r="BG12" s="25" t="n">
        <f aca="false">BG7*Neben_Getraenke/(1+UST)</f>
        <v>5546.21848739496</v>
      </c>
      <c r="BH12" s="25" t="n">
        <f aca="false">BH7*Neben_Getraenke/(1+UST)</f>
        <v>5546.21848739496</v>
      </c>
      <c r="BI12" s="25" t="n">
        <f aca="false">BI7*Neben_Getraenke/(1+UST)</f>
        <v>5546.21848739496</v>
      </c>
      <c r="BJ12" s="25" t="n">
        <f aca="false">BJ7*Neben_Getraenke/(1+UST)</f>
        <v>5546.21848739496</v>
      </c>
    </row>
    <row r="13" customFormat="false" ht="15" hidden="false" customHeight="false" outlineLevel="0" collapsed="false">
      <c r="B13" s="2" t="s">
        <v>358</v>
      </c>
      <c r="C13" s="25" t="n">
        <f aca="false">C7*Neben_Wellness/(1+UST)</f>
        <v>419.647058823529</v>
      </c>
      <c r="D13" s="25" t="n">
        <f aca="false">D7*Neben_Wellness/(1+UST)</f>
        <v>551.591294117647</v>
      </c>
      <c r="E13" s="25" t="n">
        <f aca="false">E7*Neben_Wellness/(1+UST)</f>
        <v>680.632756235294</v>
      </c>
      <c r="F13" s="25" t="n">
        <f aca="false">F7*Neben_Wellness/(1+UST)</f>
        <v>786.667238959462</v>
      </c>
      <c r="G13" s="25" t="n">
        <f aca="false">G7*Neben_Wellness/(1+UST)</f>
        <v>870.200895836808</v>
      </c>
      <c r="H13" s="25" t="n">
        <f aca="false">H7*Neben_Wellness/(1+UST)</f>
        <v>951.896812262852</v>
      </c>
      <c r="I13" s="25" t="n">
        <f aca="false">I7*Neben_Wellness/(1+UST)</f>
        <v>1031.79541852752</v>
      </c>
      <c r="J13" s="25" t="n">
        <f aca="false">J7*Neben_Wellness/(1+UST)</f>
        <v>1109.93625545437</v>
      </c>
      <c r="K13" s="25" t="n">
        <f aca="false">K7*Neben_Wellness/(1+UST)</f>
        <v>1186.35799396883</v>
      </c>
      <c r="L13" s="25" t="n">
        <f aca="false">L7*Neben_Wellness/(1+UST)</f>
        <v>1261.09845423597</v>
      </c>
      <c r="M13" s="25" t="n">
        <f aca="false">M7*Neben_Wellness/(1+UST)</f>
        <v>1334.19462437723</v>
      </c>
      <c r="N13" s="25" t="n">
        <f aca="false">N7*Neben_Wellness/(1+UST)</f>
        <v>1405.68267877539</v>
      </c>
      <c r="O13" s="25" t="n">
        <f aca="false">O7*Neben_Wellness/(1+UST)</f>
        <v>1470.55597917006</v>
      </c>
      <c r="P13" s="25" t="n">
        <f aca="false">P7*Neben_Wellness/(1+UST)</f>
        <v>1528.96005014933</v>
      </c>
      <c r="Q13" s="25" t="n">
        <f aca="false">Q7*Neben_Wellness/(1+UST)</f>
        <v>1586.07923156705</v>
      </c>
      <c r="R13" s="25" t="n">
        <f aca="false">R7*Neben_Wellness/(1+UST)</f>
        <v>1641.94179099358</v>
      </c>
      <c r="S13" s="25" t="n">
        <f aca="false">S7*Neben_Wellness/(1+UST)</f>
        <v>1696.57537411273</v>
      </c>
      <c r="T13" s="25" t="n">
        <f aca="false">T7*Neben_Wellness/(1+UST)</f>
        <v>1750.00701840326</v>
      </c>
      <c r="U13" s="25" t="n">
        <f aca="false">U7*Neben_Wellness/(1+UST)</f>
        <v>1802.2631665194</v>
      </c>
      <c r="V13" s="25" t="n">
        <f aca="false">V7*Neben_Wellness/(1+UST)</f>
        <v>1853.36967937698</v>
      </c>
      <c r="W13" s="25" t="n">
        <f aca="false">W7*Neben_Wellness/(1+UST)</f>
        <v>1903.35184895169</v>
      </c>
      <c r="X13" s="25" t="n">
        <f aca="false">X7*Neben_Wellness/(1+UST)</f>
        <v>1952.23441079576</v>
      </c>
      <c r="Y13" s="25" t="n">
        <f aca="false">Y7*Neben_Wellness/(1+UST)</f>
        <v>2000.04155627927</v>
      </c>
      <c r="Z13" s="25" t="n">
        <f aca="false">Z7*Neben_Wellness/(1+UST)</f>
        <v>2046.79694456213</v>
      </c>
      <c r="AA13" s="25" t="n">
        <f aca="false">AA7*Neben_Wellness/(1+UST)</f>
        <v>2087.48169749605</v>
      </c>
      <c r="AB13" s="25" t="n">
        <f aca="false">AB7*Neben_Wellness/(1+UST)</f>
        <v>2122.2293690587</v>
      </c>
      <c r="AC13" s="25" t="n">
        <f aca="false">AC7*Neben_Wellness/(1+UST)</f>
        <v>2156.21259184697</v>
      </c>
      <c r="AD13" s="25" t="n">
        <f aca="false">AD7*Neben_Wellness/(1+UST)</f>
        <v>2189.4481837339</v>
      </c>
      <c r="AE13" s="25" t="n">
        <f aca="false">AE7*Neben_Wellness/(1+UST)</f>
        <v>2212.18427288118</v>
      </c>
      <c r="AF13" s="25" t="n">
        <f aca="false">AF7*Neben_Wellness/(1+UST)</f>
        <v>2218.48739495798</v>
      </c>
      <c r="AG13" s="25" t="n">
        <f aca="false">AG7*Neben_Wellness/(1+UST)</f>
        <v>2218.48739495798</v>
      </c>
      <c r="AH13" s="25" t="n">
        <f aca="false">AH7*Neben_Wellness/(1+UST)</f>
        <v>2218.48739495798</v>
      </c>
      <c r="AI13" s="25" t="n">
        <f aca="false">AI7*Neben_Wellness/(1+UST)</f>
        <v>2218.48739495798</v>
      </c>
      <c r="AJ13" s="25" t="n">
        <f aca="false">AJ7*Neben_Wellness/(1+UST)</f>
        <v>2218.48739495798</v>
      </c>
      <c r="AK13" s="25" t="n">
        <f aca="false">AK7*Neben_Wellness/(1+UST)</f>
        <v>2218.48739495798</v>
      </c>
      <c r="AL13" s="25" t="n">
        <f aca="false">AL7*Neben_Wellness/(1+UST)</f>
        <v>2218.48739495798</v>
      </c>
      <c r="AM13" s="25" t="n">
        <f aca="false">AM7*Neben_Wellness/(1+UST)</f>
        <v>2218.48739495798</v>
      </c>
      <c r="AN13" s="25" t="n">
        <f aca="false">AN7*Neben_Wellness/(1+UST)</f>
        <v>2218.48739495798</v>
      </c>
      <c r="AO13" s="25" t="n">
        <f aca="false">AO7*Neben_Wellness/(1+UST)</f>
        <v>2218.48739495798</v>
      </c>
      <c r="AP13" s="25" t="n">
        <f aca="false">AP7*Neben_Wellness/(1+UST)</f>
        <v>2218.48739495798</v>
      </c>
      <c r="AQ13" s="25" t="n">
        <f aca="false">AQ7*Neben_Wellness/(1+UST)</f>
        <v>2218.48739495798</v>
      </c>
      <c r="AR13" s="25" t="n">
        <f aca="false">AR7*Neben_Wellness/(1+UST)</f>
        <v>2218.48739495798</v>
      </c>
      <c r="AS13" s="25" t="n">
        <f aca="false">AS7*Neben_Wellness/(1+UST)</f>
        <v>2218.48739495798</v>
      </c>
      <c r="AT13" s="25" t="n">
        <f aca="false">AT7*Neben_Wellness/(1+UST)</f>
        <v>2218.48739495798</v>
      </c>
      <c r="AU13" s="25" t="n">
        <f aca="false">AU7*Neben_Wellness/(1+UST)</f>
        <v>2218.48739495798</v>
      </c>
      <c r="AV13" s="25" t="n">
        <f aca="false">AV7*Neben_Wellness/(1+UST)</f>
        <v>2218.48739495798</v>
      </c>
      <c r="AW13" s="25" t="n">
        <f aca="false">AW7*Neben_Wellness/(1+UST)</f>
        <v>2218.48739495798</v>
      </c>
      <c r="AX13" s="25" t="n">
        <f aca="false">AX7*Neben_Wellness/(1+UST)</f>
        <v>2218.48739495798</v>
      </c>
      <c r="AY13" s="25" t="n">
        <f aca="false">AY7*Neben_Wellness/(1+UST)</f>
        <v>2218.48739495798</v>
      </c>
      <c r="AZ13" s="25" t="n">
        <f aca="false">AZ7*Neben_Wellness/(1+UST)</f>
        <v>2218.48739495798</v>
      </c>
      <c r="BA13" s="25" t="n">
        <f aca="false">BA7*Neben_Wellness/(1+UST)</f>
        <v>2218.48739495798</v>
      </c>
      <c r="BB13" s="25" t="n">
        <f aca="false">BB7*Neben_Wellness/(1+UST)</f>
        <v>2218.48739495798</v>
      </c>
      <c r="BC13" s="25" t="n">
        <f aca="false">BC7*Neben_Wellness/(1+UST)</f>
        <v>2218.48739495798</v>
      </c>
      <c r="BD13" s="25" t="n">
        <f aca="false">BD7*Neben_Wellness/(1+UST)</f>
        <v>2218.48739495798</v>
      </c>
      <c r="BE13" s="25" t="n">
        <f aca="false">BE7*Neben_Wellness/(1+UST)</f>
        <v>2218.48739495798</v>
      </c>
      <c r="BF13" s="25" t="n">
        <f aca="false">BF7*Neben_Wellness/(1+UST)</f>
        <v>2218.48739495798</v>
      </c>
      <c r="BG13" s="25" t="n">
        <f aca="false">BG7*Neben_Wellness/(1+UST)</f>
        <v>2218.48739495798</v>
      </c>
      <c r="BH13" s="25" t="n">
        <f aca="false">BH7*Neben_Wellness/(1+UST)</f>
        <v>2218.48739495798</v>
      </c>
      <c r="BI13" s="25" t="n">
        <f aca="false">BI7*Neben_Wellness/(1+UST)</f>
        <v>2218.48739495798</v>
      </c>
      <c r="BJ13" s="25" t="n">
        <f aca="false">BJ7*Neben_Wellness/(1+UST)</f>
        <v>2218.48739495798</v>
      </c>
    </row>
    <row r="14" customFormat="false" ht="15" hidden="false" customHeight="false" outlineLevel="0" collapsed="false">
      <c r="B14" s="2" t="s">
        <v>359</v>
      </c>
      <c r="C14" s="25" t="n">
        <f aca="false">C7*Neben_PT/(1+UST)</f>
        <v>524.558823529412</v>
      </c>
      <c r="D14" s="25" t="n">
        <f aca="false">D7*Neben_PT/(1+UST)</f>
        <v>689.489117647059</v>
      </c>
      <c r="E14" s="25" t="n">
        <f aca="false">E7*Neben_PT/(1+UST)</f>
        <v>850.790945294118</v>
      </c>
      <c r="F14" s="25" t="n">
        <f aca="false">F7*Neben_PT/(1+UST)</f>
        <v>983.334048699328</v>
      </c>
      <c r="G14" s="25" t="n">
        <f aca="false">G7*Neben_PT/(1+UST)</f>
        <v>1087.75111979601</v>
      </c>
      <c r="H14" s="25" t="n">
        <f aca="false">H7*Neben_PT/(1+UST)</f>
        <v>1189.87101532857</v>
      </c>
      <c r="I14" s="25" t="n">
        <f aca="false">I7*Neben_PT/(1+UST)</f>
        <v>1289.7442731594</v>
      </c>
      <c r="J14" s="25" t="n">
        <f aca="false">J7*Neben_PT/(1+UST)</f>
        <v>1387.42031931796</v>
      </c>
      <c r="K14" s="25" t="n">
        <f aca="false">K7*Neben_PT/(1+UST)</f>
        <v>1482.94749246104</v>
      </c>
      <c r="L14" s="25" t="n">
        <f aca="false">L7*Neben_PT/(1+UST)</f>
        <v>1576.37306779496</v>
      </c>
      <c r="M14" s="25" t="n">
        <f aca="false">M7*Neben_PT/(1+UST)</f>
        <v>1667.74328047154</v>
      </c>
      <c r="N14" s="25" t="n">
        <f aca="false">N7*Neben_PT/(1+UST)</f>
        <v>1757.10334846923</v>
      </c>
      <c r="O14" s="25" t="n">
        <f aca="false">O7*Neben_PT/(1+UST)</f>
        <v>1838.19497396257</v>
      </c>
      <c r="P14" s="25" t="n">
        <f aca="false">P7*Neben_PT/(1+UST)</f>
        <v>1911.20006268666</v>
      </c>
      <c r="Q14" s="25" t="n">
        <f aca="false">Q7*Neben_PT/(1+UST)</f>
        <v>1982.59903945881</v>
      </c>
      <c r="R14" s="25" t="n">
        <f aca="false">R7*Neben_PT/(1+UST)</f>
        <v>2052.42723874198</v>
      </c>
      <c r="S14" s="25" t="n">
        <f aca="false">S7*Neben_PT/(1+UST)</f>
        <v>2120.71921764091</v>
      </c>
      <c r="T14" s="25" t="n">
        <f aca="false">T7*Neben_PT/(1+UST)</f>
        <v>2187.50877300408</v>
      </c>
      <c r="U14" s="25" t="n">
        <f aca="false">U7*Neben_PT/(1+UST)</f>
        <v>2252.82895814925</v>
      </c>
      <c r="V14" s="25" t="n">
        <f aca="false">V7*Neben_PT/(1+UST)</f>
        <v>2316.71209922122</v>
      </c>
      <c r="W14" s="25" t="n">
        <f aca="false">W7*Neben_PT/(1+UST)</f>
        <v>2379.18981118962</v>
      </c>
      <c r="X14" s="25" t="n">
        <f aca="false">X7*Neben_PT/(1+UST)</f>
        <v>2440.29301349471</v>
      </c>
      <c r="Y14" s="25" t="n">
        <f aca="false">Y7*Neben_PT/(1+UST)</f>
        <v>2500.05194534908</v>
      </c>
      <c r="Z14" s="25" t="n">
        <f aca="false">Z7*Neben_PT/(1+UST)</f>
        <v>2558.49618070266</v>
      </c>
      <c r="AA14" s="25" t="n">
        <f aca="false">AA7*Neben_PT/(1+UST)</f>
        <v>2609.35212187006</v>
      </c>
      <c r="AB14" s="25" t="n">
        <f aca="false">AB7*Neben_PT/(1+UST)</f>
        <v>2652.78671132337</v>
      </c>
      <c r="AC14" s="25" t="n">
        <f aca="false">AC7*Neben_PT/(1+UST)</f>
        <v>2695.26573980871</v>
      </c>
      <c r="AD14" s="25" t="n">
        <f aca="false">AD7*Neben_PT/(1+UST)</f>
        <v>2736.81022966738</v>
      </c>
      <c r="AE14" s="25" t="n">
        <f aca="false">AE7*Neben_PT/(1+UST)</f>
        <v>2765.23034110148</v>
      </c>
      <c r="AF14" s="25" t="n">
        <f aca="false">AF7*Neben_PT/(1+UST)</f>
        <v>2773.10924369748</v>
      </c>
      <c r="AG14" s="25" t="n">
        <f aca="false">AG7*Neben_PT/(1+UST)</f>
        <v>2773.10924369748</v>
      </c>
      <c r="AH14" s="25" t="n">
        <f aca="false">AH7*Neben_PT/(1+UST)</f>
        <v>2773.10924369748</v>
      </c>
      <c r="AI14" s="25" t="n">
        <f aca="false">AI7*Neben_PT/(1+UST)</f>
        <v>2773.10924369748</v>
      </c>
      <c r="AJ14" s="25" t="n">
        <f aca="false">AJ7*Neben_PT/(1+UST)</f>
        <v>2773.10924369748</v>
      </c>
      <c r="AK14" s="25" t="n">
        <f aca="false">AK7*Neben_PT/(1+UST)</f>
        <v>2773.10924369748</v>
      </c>
      <c r="AL14" s="25" t="n">
        <f aca="false">AL7*Neben_PT/(1+UST)</f>
        <v>2773.10924369748</v>
      </c>
      <c r="AM14" s="25" t="n">
        <f aca="false">AM7*Neben_PT/(1+UST)</f>
        <v>2773.10924369748</v>
      </c>
      <c r="AN14" s="25" t="n">
        <f aca="false">AN7*Neben_PT/(1+UST)</f>
        <v>2773.10924369748</v>
      </c>
      <c r="AO14" s="25" t="n">
        <f aca="false">AO7*Neben_PT/(1+UST)</f>
        <v>2773.10924369748</v>
      </c>
      <c r="AP14" s="25" t="n">
        <f aca="false">AP7*Neben_PT/(1+UST)</f>
        <v>2773.10924369748</v>
      </c>
      <c r="AQ14" s="25" t="n">
        <f aca="false">AQ7*Neben_PT/(1+UST)</f>
        <v>2773.10924369748</v>
      </c>
      <c r="AR14" s="25" t="n">
        <f aca="false">AR7*Neben_PT/(1+UST)</f>
        <v>2773.10924369748</v>
      </c>
      <c r="AS14" s="25" t="n">
        <f aca="false">AS7*Neben_PT/(1+UST)</f>
        <v>2773.10924369748</v>
      </c>
      <c r="AT14" s="25" t="n">
        <f aca="false">AT7*Neben_PT/(1+UST)</f>
        <v>2773.10924369748</v>
      </c>
      <c r="AU14" s="25" t="n">
        <f aca="false">AU7*Neben_PT/(1+UST)</f>
        <v>2773.10924369748</v>
      </c>
      <c r="AV14" s="25" t="n">
        <f aca="false">AV7*Neben_PT/(1+UST)</f>
        <v>2773.10924369748</v>
      </c>
      <c r="AW14" s="25" t="n">
        <f aca="false">AW7*Neben_PT/(1+UST)</f>
        <v>2773.10924369748</v>
      </c>
      <c r="AX14" s="25" t="n">
        <f aca="false">AX7*Neben_PT/(1+UST)</f>
        <v>2773.10924369748</v>
      </c>
      <c r="AY14" s="25" t="n">
        <f aca="false">AY7*Neben_PT/(1+UST)</f>
        <v>2773.10924369748</v>
      </c>
      <c r="AZ14" s="25" t="n">
        <f aca="false">AZ7*Neben_PT/(1+UST)</f>
        <v>2773.10924369748</v>
      </c>
      <c r="BA14" s="25" t="n">
        <f aca="false">BA7*Neben_PT/(1+UST)</f>
        <v>2773.10924369748</v>
      </c>
      <c r="BB14" s="25" t="n">
        <f aca="false">BB7*Neben_PT/(1+UST)</f>
        <v>2773.10924369748</v>
      </c>
      <c r="BC14" s="25" t="n">
        <f aca="false">BC7*Neben_PT/(1+UST)</f>
        <v>2773.10924369748</v>
      </c>
      <c r="BD14" s="25" t="n">
        <f aca="false">BD7*Neben_PT/(1+UST)</f>
        <v>2773.10924369748</v>
      </c>
      <c r="BE14" s="25" t="n">
        <f aca="false">BE7*Neben_PT/(1+UST)</f>
        <v>2773.10924369748</v>
      </c>
      <c r="BF14" s="25" t="n">
        <f aca="false">BF7*Neben_PT/(1+UST)</f>
        <v>2773.10924369748</v>
      </c>
      <c r="BG14" s="25" t="n">
        <f aca="false">BG7*Neben_PT/(1+UST)</f>
        <v>2773.10924369748</v>
      </c>
      <c r="BH14" s="25" t="n">
        <f aca="false">BH7*Neben_PT/(1+UST)</f>
        <v>2773.10924369748</v>
      </c>
      <c r="BI14" s="25" t="n">
        <f aca="false">BI7*Neben_PT/(1+UST)</f>
        <v>2773.10924369748</v>
      </c>
      <c r="BJ14" s="25" t="n">
        <f aca="false">BJ7*Neben_PT/(1+UST)</f>
        <v>2773.10924369748</v>
      </c>
    </row>
    <row r="15" customFormat="false" ht="15" hidden="false" customHeight="false" outlineLevel="0" collapsed="false">
      <c r="B15" s="2" t="s">
        <v>360</v>
      </c>
      <c r="C15" s="25" t="n">
        <f aca="false">C7*Neben_Merch/(1+UST)</f>
        <v>174.852941176471</v>
      </c>
      <c r="D15" s="25" t="n">
        <f aca="false">D7*Neben_Merch/(1+UST)</f>
        <v>229.829705882353</v>
      </c>
      <c r="E15" s="25" t="n">
        <f aca="false">E7*Neben_Merch/(1+UST)</f>
        <v>283.596981764706</v>
      </c>
      <c r="F15" s="25" t="n">
        <f aca="false">F7*Neben_Merch/(1+UST)</f>
        <v>327.778016233109</v>
      </c>
      <c r="G15" s="25" t="n">
        <f aca="false">G7*Neben_Merch/(1+UST)</f>
        <v>362.58370659867</v>
      </c>
      <c r="H15" s="25" t="n">
        <f aca="false">H7*Neben_Merch/(1+UST)</f>
        <v>396.623671776188</v>
      </c>
      <c r="I15" s="25" t="n">
        <f aca="false">I7*Neben_Merch/(1+UST)</f>
        <v>429.914757719801</v>
      </c>
      <c r="J15" s="25" t="n">
        <f aca="false">J7*Neben_Merch/(1+UST)</f>
        <v>462.473439772655</v>
      </c>
      <c r="K15" s="25" t="n">
        <f aca="false">K7*Neben_Merch/(1+UST)</f>
        <v>494.315830820345</v>
      </c>
      <c r="L15" s="25" t="n">
        <f aca="false">L7*Neben_Merch/(1+UST)</f>
        <v>525.457689264987</v>
      </c>
      <c r="M15" s="25" t="n">
        <f aca="false">M7*Neben_Merch/(1+UST)</f>
        <v>555.914426823846</v>
      </c>
      <c r="N15" s="25" t="n">
        <f aca="false">N7*Neben_Merch/(1+UST)</f>
        <v>585.701116156411</v>
      </c>
      <c r="O15" s="25" t="n">
        <f aca="false">O7*Neben_Merch/(1+UST)</f>
        <v>612.731657987524</v>
      </c>
      <c r="P15" s="25" t="n">
        <f aca="false">P7*Neben_Merch/(1+UST)</f>
        <v>637.066687562219</v>
      </c>
      <c r="Q15" s="25" t="n">
        <f aca="false">Q7*Neben_Merch/(1+UST)</f>
        <v>660.86634648627</v>
      </c>
      <c r="R15" s="25" t="n">
        <f aca="false">R7*Neben_Merch/(1+UST)</f>
        <v>684.142412913993</v>
      </c>
      <c r="S15" s="25" t="n">
        <f aca="false">S7*Neben_Merch/(1+UST)</f>
        <v>706.906405880305</v>
      </c>
      <c r="T15" s="25" t="n">
        <f aca="false">T7*Neben_Merch/(1+UST)</f>
        <v>729.169591001358</v>
      </c>
      <c r="U15" s="25" t="n">
        <f aca="false">U7*Neben_Merch/(1+UST)</f>
        <v>750.942986049749</v>
      </c>
      <c r="V15" s="25" t="n">
        <f aca="false">V7*Neben_Merch/(1+UST)</f>
        <v>772.237366407074</v>
      </c>
      <c r="W15" s="25" t="n">
        <f aca="false">W7*Neben_Merch/(1+UST)</f>
        <v>793.063270396539</v>
      </c>
      <c r="X15" s="25" t="n">
        <f aca="false">X7*Neben_Merch/(1+UST)</f>
        <v>813.431004498235</v>
      </c>
      <c r="Y15" s="25" t="n">
        <f aca="false">Y7*Neben_Merch/(1+UST)</f>
        <v>833.350648449694</v>
      </c>
      <c r="Z15" s="25" t="n">
        <f aca="false">Z7*Neben_Merch/(1+UST)</f>
        <v>852.832060234221</v>
      </c>
      <c r="AA15" s="25" t="n">
        <f aca="false">AA7*Neben_Merch/(1+UST)</f>
        <v>869.784040623354</v>
      </c>
      <c r="AB15" s="25" t="n">
        <f aca="false">AB7*Neben_Merch/(1+UST)</f>
        <v>884.262237107792</v>
      </c>
      <c r="AC15" s="25" t="n">
        <f aca="false">AC7*Neben_Merch/(1+UST)</f>
        <v>898.421913269571</v>
      </c>
      <c r="AD15" s="25" t="n">
        <f aca="false">AD7*Neben_Merch/(1+UST)</f>
        <v>912.270076555792</v>
      </c>
      <c r="AE15" s="25" t="n">
        <f aca="false">AE7*Neben_Merch/(1+UST)</f>
        <v>921.743447033827</v>
      </c>
      <c r="AF15" s="25" t="n">
        <f aca="false">AF7*Neben_Merch/(1+UST)</f>
        <v>924.36974789916</v>
      </c>
      <c r="AG15" s="25" t="n">
        <f aca="false">AG7*Neben_Merch/(1+UST)</f>
        <v>924.36974789916</v>
      </c>
      <c r="AH15" s="25" t="n">
        <f aca="false">AH7*Neben_Merch/(1+UST)</f>
        <v>924.36974789916</v>
      </c>
      <c r="AI15" s="25" t="n">
        <f aca="false">AI7*Neben_Merch/(1+UST)</f>
        <v>924.36974789916</v>
      </c>
      <c r="AJ15" s="25" t="n">
        <f aca="false">AJ7*Neben_Merch/(1+UST)</f>
        <v>924.36974789916</v>
      </c>
      <c r="AK15" s="25" t="n">
        <f aca="false">AK7*Neben_Merch/(1+UST)</f>
        <v>924.36974789916</v>
      </c>
      <c r="AL15" s="25" t="n">
        <f aca="false">AL7*Neben_Merch/(1+UST)</f>
        <v>924.36974789916</v>
      </c>
      <c r="AM15" s="25" t="n">
        <f aca="false">AM7*Neben_Merch/(1+UST)</f>
        <v>924.36974789916</v>
      </c>
      <c r="AN15" s="25" t="n">
        <f aca="false">AN7*Neben_Merch/(1+UST)</f>
        <v>924.36974789916</v>
      </c>
      <c r="AO15" s="25" t="n">
        <f aca="false">AO7*Neben_Merch/(1+UST)</f>
        <v>924.36974789916</v>
      </c>
      <c r="AP15" s="25" t="n">
        <f aca="false">AP7*Neben_Merch/(1+UST)</f>
        <v>924.36974789916</v>
      </c>
      <c r="AQ15" s="25" t="n">
        <f aca="false">AQ7*Neben_Merch/(1+UST)</f>
        <v>924.36974789916</v>
      </c>
      <c r="AR15" s="25" t="n">
        <f aca="false">AR7*Neben_Merch/(1+UST)</f>
        <v>924.36974789916</v>
      </c>
      <c r="AS15" s="25" t="n">
        <f aca="false">AS7*Neben_Merch/(1+UST)</f>
        <v>924.36974789916</v>
      </c>
      <c r="AT15" s="25" t="n">
        <f aca="false">AT7*Neben_Merch/(1+UST)</f>
        <v>924.36974789916</v>
      </c>
      <c r="AU15" s="25" t="n">
        <f aca="false">AU7*Neben_Merch/(1+UST)</f>
        <v>924.36974789916</v>
      </c>
      <c r="AV15" s="25" t="n">
        <f aca="false">AV7*Neben_Merch/(1+UST)</f>
        <v>924.36974789916</v>
      </c>
      <c r="AW15" s="25" t="n">
        <f aca="false">AW7*Neben_Merch/(1+UST)</f>
        <v>924.36974789916</v>
      </c>
      <c r="AX15" s="25" t="n">
        <f aca="false">AX7*Neben_Merch/(1+UST)</f>
        <v>924.36974789916</v>
      </c>
      <c r="AY15" s="25" t="n">
        <f aca="false">AY7*Neben_Merch/(1+UST)</f>
        <v>924.36974789916</v>
      </c>
      <c r="AZ15" s="25" t="n">
        <f aca="false">AZ7*Neben_Merch/(1+UST)</f>
        <v>924.36974789916</v>
      </c>
      <c r="BA15" s="25" t="n">
        <f aca="false">BA7*Neben_Merch/(1+UST)</f>
        <v>924.36974789916</v>
      </c>
      <c r="BB15" s="25" t="n">
        <f aca="false">BB7*Neben_Merch/(1+UST)</f>
        <v>924.36974789916</v>
      </c>
      <c r="BC15" s="25" t="n">
        <f aca="false">BC7*Neben_Merch/(1+UST)</f>
        <v>924.36974789916</v>
      </c>
      <c r="BD15" s="25" t="n">
        <f aca="false">BD7*Neben_Merch/(1+UST)</f>
        <v>924.36974789916</v>
      </c>
      <c r="BE15" s="25" t="n">
        <f aca="false">BE7*Neben_Merch/(1+UST)</f>
        <v>924.36974789916</v>
      </c>
      <c r="BF15" s="25" t="n">
        <f aca="false">BF7*Neben_Merch/(1+UST)</f>
        <v>924.36974789916</v>
      </c>
      <c r="BG15" s="25" t="n">
        <f aca="false">BG7*Neben_Merch/(1+UST)</f>
        <v>924.36974789916</v>
      </c>
      <c r="BH15" s="25" t="n">
        <f aca="false">BH7*Neben_Merch/(1+UST)</f>
        <v>924.36974789916</v>
      </c>
      <c r="BI15" s="25" t="n">
        <f aca="false">BI7*Neben_Merch/(1+UST)</f>
        <v>924.36974789916</v>
      </c>
      <c r="BJ15" s="25" t="n">
        <f aca="false">BJ7*Neben_Merch/(1+UST)</f>
        <v>924.36974789916</v>
      </c>
    </row>
    <row r="16" customFormat="false" ht="15" hidden="false" customHeight="false" outlineLevel="0" collapsed="false">
      <c r="B16" s="8" t="s">
        <v>361</v>
      </c>
      <c r="C16" s="35" t="n">
        <f aca="false">SUM(C9:C15)</f>
        <v>25192.5</v>
      </c>
      <c r="D16" s="35" t="n">
        <f aca="false">SUM(D9:D15)</f>
        <v>31844.6885294118</v>
      </c>
      <c r="E16" s="35" t="n">
        <f aca="false">SUM(E9:E15)</f>
        <v>38350.5289111765</v>
      </c>
      <c r="F16" s="35" t="n">
        <f aca="false">SUM(F9:F15)</f>
        <v>42543.4929053827</v>
      </c>
      <c r="G16" s="35" t="n">
        <f aca="false">SUM(G9:G15)</f>
        <v>46754.9814396155</v>
      </c>
      <c r="H16" s="35" t="n">
        <f aca="false">SUM(H9:H15)</f>
        <v>50873.8172260953</v>
      </c>
      <c r="I16" s="35" t="n">
        <f aca="false">SUM(I9:I15)</f>
        <v>54902.0386252724</v>
      </c>
      <c r="J16" s="35" t="n">
        <f aca="false">SUM(J9:J15)</f>
        <v>58841.6391536677</v>
      </c>
      <c r="K16" s="35" t="n">
        <f aca="false">SUM(K9:K15)</f>
        <v>62694.5684704383</v>
      </c>
      <c r="L16" s="35" t="n">
        <f aca="false">SUM(L9:L15)</f>
        <v>66462.7333422399</v>
      </c>
      <c r="M16" s="35" t="n">
        <f aca="false">SUM(M9:M15)</f>
        <v>70147.9985868619</v>
      </c>
      <c r="N16" s="35" t="n">
        <f aca="false">SUM(N9:N15)</f>
        <v>73752.1879961022</v>
      </c>
      <c r="O16" s="35" t="n">
        <f aca="false">SUM(O9:O15)</f>
        <v>76734.6482635493</v>
      </c>
      <c r="P16" s="35" t="n">
        <f aca="false">SUM(P9:P15)</f>
        <v>79679.1868420873</v>
      </c>
      <c r="Q16" s="35" t="n">
        <f aca="false">SUM(Q9:Q15)</f>
        <v>82558.9455718975</v>
      </c>
      <c r="R16" s="35" t="n">
        <f aca="false">SUM(R9:R15)</f>
        <v>85375.3496096519</v>
      </c>
      <c r="S16" s="35" t="n">
        <f aca="false">SUM(S9:S15)</f>
        <v>88129.7927585757</v>
      </c>
      <c r="T16" s="35" t="n">
        <f aca="false">SUM(T9:T15)</f>
        <v>90823.6381582232</v>
      </c>
      <c r="U16" s="35" t="n">
        <f aca="false">SUM(U9:U15)</f>
        <v>93458.2189590784</v>
      </c>
      <c r="V16" s="35" t="n">
        <f aca="false">SUM(V9:V15)</f>
        <v>96034.8389823148</v>
      </c>
      <c r="W16" s="35" t="n">
        <f aca="false">SUM(W9:W15)</f>
        <v>98554.77336504</v>
      </c>
      <c r="X16" s="35" t="n">
        <f aca="false">SUM(X9:X15)</f>
        <v>101019.269191345</v>
      </c>
      <c r="Y16" s="35" t="n">
        <f aca="false">SUM(Y9:Y15)</f>
        <v>103429.546109472</v>
      </c>
      <c r="Z16" s="35" t="n">
        <f aca="false">SUM(Z9:Z15)</f>
        <v>105786.7969354</v>
      </c>
      <c r="AA16" s="35" t="n">
        <f aca="false">SUM(AA9:AA15)</f>
        <v>109294.538053857</v>
      </c>
      <c r="AB16" s="35" t="n">
        <f aca="false">SUM(AB9:AB15)</f>
        <v>111075.443090622</v>
      </c>
      <c r="AC16" s="35" t="n">
        <f aca="false">SUM(AC9:AC15)</f>
        <v>112817.168216578</v>
      </c>
      <c r="AD16" s="35" t="n">
        <f aca="false">SUM(AD9:AD15)</f>
        <v>114520.575389763</v>
      </c>
      <c r="AE16" s="35" t="n">
        <f aca="false">SUM(AE9:AE15)</f>
        <v>115685.856798784</v>
      </c>
      <c r="AF16" s="35" t="n">
        <f aca="false">SUM(AF9:AF15)</f>
        <v>116008.907563025</v>
      </c>
      <c r="AG16" s="35" t="n">
        <f aca="false">SUM(AG9:AG15)</f>
        <v>116008.907563025</v>
      </c>
      <c r="AH16" s="35" t="n">
        <f aca="false">SUM(AH9:AH15)</f>
        <v>116008.907563025</v>
      </c>
      <c r="AI16" s="35" t="n">
        <f aca="false">SUM(AI9:AI15)</f>
        <v>116008.907563025</v>
      </c>
      <c r="AJ16" s="35" t="n">
        <f aca="false">SUM(AJ9:AJ15)</f>
        <v>116008.907563025</v>
      </c>
      <c r="AK16" s="35" t="n">
        <f aca="false">SUM(AK9:AK15)</f>
        <v>116008.907563025</v>
      </c>
      <c r="AL16" s="35" t="n">
        <f aca="false">SUM(AL9:AL15)</f>
        <v>116008.907563025</v>
      </c>
      <c r="AM16" s="35" t="n">
        <f aca="false">SUM(AM9:AM15)</f>
        <v>117756.161344538</v>
      </c>
      <c r="AN16" s="35" t="n">
        <f aca="false">SUM(AN9:AN15)</f>
        <v>117756.161344538</v>
      </c>
      <c r="AO16" s="35" t="n">
        <f aca="false">SUM(AO9:AO15)</f>
        <v>117756.161344538</v>
      </c>
      <c r="AP16" s="35" t="n">
        <f aca="false">SUM(AP9:AP15)</f>
        <v>117756.161344538</v>
      </c>
      <c r="AQ16" s="35" t="n">
        <f aca="false">SUM(AQ9:AQ15)</f>
        <v>117756.161344538</v>
      </c>
      <c r="AR16" s="35" t="n">
        <f aca="false">SUM(AR9:AR15)</f>
        <v>117756.161344538</v>
      </c>
      <c r="AS16" s="35" t="n">
        <f aca="false">SUM(AS9:AS15)</f>
        <v>117756.161344538</v>
      </c>
      <c r="AT16" s="35" t="n">
        <f aca="false">SUM(AT9:AT15)</f>
        <v>117756.161344538</v>
      </c>
      <c r="AU16" s="35" t="n">
        <f aca="false">SUM(AU9:AU15)</f>
        <v>117756.161344538</v>
      </c>
      <c r="AV16" s="35" t="n">
        <f aca="false">SUM(AV9:AV15)</f>
        <v>117756.161344538</v>
      </c>
      <c r="AW16" s="35" t="n">
        <f aca="false">SUM(AW9:AW15)</f>
        <v>117756.161344538</v>
      </c>
      <c r="AX16" s="35" t="n">
        <f aca="false">SUM(AX9:AX15)</f>
        <v>117756.161344538</v>
      </c>
      <c r="AY16" s="35" t="n">
        <f aca="false">SUM(AY9:AY15)</f>
        <v>119685.360201681</v>
      </c>
      <c r="AZ16" s="35" t="n">
        <f aca="false">SUM(AZ9:AZ15)</f>
        <v>119685.360201681</v>
      </c>
      <c r="BA16" s="35" t="n">
        <f aca="false">SUM(BA9:BA15)</f>
        <v>119685.360201681</v>
      </c>
      <c r="BB16" s="35" t="n">
        <f aca="false">SUM(BB9:BB15)</f>
        <v>119685.360201681</v>
      </c>
      <c r="BC16" s="35" t="n">
        <f aca="false">SUM(BC9:BC15)</f>
        <v>119685.360201681</v>
      </c>
      <c r="BD16" s="35" t="n">
        <f aca="false">SUM(BD9:BD15)</f>
        <v>119685.360201681</v>
      </c>
      <c r="BE16" s="35" t="n">
        <f aca="false">SUM(BE9:BE15)</f>
        <v>119685.360201681</v>
      </c>
      <c r="BF16" s="35" t="n">
        <f aca="false">SUM(BF9:BF15)</f>
        <v>119685.360201681</v>
      </c>
      <c r="BG16" s="35" t="n">
        <f aca="false">SUM(BG9:BG15)</f>
        <v>119685.360201681</v>
      </c>
      <c r="BH16" s="35" t="n">
        <f aca="false">SUM(BH9:BH15)</f>
        <v>119685.360201681</v>
      </c>
      <c r="BI16" s="35" t="n">
        <f aca="false">SUM(BI9:BI15)</f>
        <v>119685.360201681</v>
      </c>
      <c r="BJ16" s="35" t="n">
        <f aca="false">SUM(BJ9:BJ15)</f>
        <v>119685.360201681</v>
      </c>
    </row>
    <row r="17" customFormat="false" ht="15" hidden="false" customHeight="false" outlineLevel="0" collapsed="false">
      <c r="B17" s="2" t="s">
        <v>362</v>
      </c>
      <c r="C17" s="25" t="n">
        <f aca="false">C16*UST</f>
        <v>4786.575</v>
      </c>
      <c r="D17" s="25" t="n">
        <f aca="false">D16*UST</f>
        <v>6050.49082058824</v>
      </c>
      <c r="E17" s="25" t="n">
        <f aca="false">E16*UST</f>
        <v>7286.60049312353</v>
      </c>
      <c r="F17" s="25" t="n">
        <f aca="false">F16*UST</f>
        <v>8083.26365202271</v>
      </c>
      <c r="G17" s="25" t="n">
        <f aca="false">G16*UST</f>
        <v>8883.44647352695</v>
      </c>
      <c r="H17" s="25" t="n">
        <f aca="false">H16*UST</f>
        <v>9666.0252729581</v>
      </c>
      <c r="I17" s="25" t="n">
        <f aca="false">I16*UST</f>
        <v>10431.3873388018</v>
      </c>
      <c r="J17" s="25" t="n">
        <f aca="false">J16*UST</f>
        <v>11179.9114391969</v>
      </c>
      <c r="K17" s="25" t="n">
        <f aca="false">K16*UST</f>
        <v>11911.9680093833</v>
      </c>
      <c r="L17" s="25" t="n">
        <f aca="false">L16*UST</f>
        <v>12627.9193350256</v>
      </c>
      <c r="M17" s="25" t="n">
        <f aca="false">M16*UST</f>
        <v>13328.1197315038</v>
      </c>
      <c r="N17" s="25" t="n">
        <f aca="false">N16*UST</f>
        <v>14012.9157192594</v>
      </c>
      <c r="O17" s="25" t="n">
        <f aca="false">O16*UST</f>
        <v>14579.5831700744</v>
      </c>
      <c r="P17" s="25" t="n">
        <f aca="false">P16*UST</f>
        <v>15139.0454999966</v>
      </c>
      <c r="Q17" s="25" t="n">
        <f aca="false">Q16*UST</f>
        <v>15686.1996586605</v>
      </c>
      <c r="R17" s="25" t="n">
        <f aca="false">R16*UST</f>
        <v>16221.3164258339</v>
      </c>
      <c r="S17" s="25" t="n">
        <f aca="false">S16*UST</f>
        <v>16744.6606241294</v>
      </c>
      <c r="T17" s="25" t="n">
        <f aca="false">T16*UST</f>
        <v>17256.4912500624</v>
      </c>
      <c r="U17" s="25" t="n">
        <f aca="false">U16*UST</f>
        <v>17757.0616022249</v>
      </c>
      <c r="V17" s="25" t="n">
        <f aca="false">V16*UST</f>
        <v>18246.6194066398</v>
      </c>
      <c r="W17" s="25" t="n">
        <f aca="false">W16*UST</f>
        <v>18725.4069393576</v>
      </c>
      <c r="X17" s="25" t="n">
        <f aca="false">X16*UST</f>
        <v>19193.6611463556</v>
      </c>
      <c r="Y17" s="25" t="n">
        <f aca="false">Y16*UST</f>
        <v>19651.6137607996</v>
      </c>
      <c r="Z17" s="25" t="n">
        <f aca="false">Z16*UST</f>
        <v>20099.4914177259</v>
      </c>
      <c r="AA17" s="25" t="n">
        <f aca="false">AA16*UST</f>
        <v>20765.9622302329</v>
      </c>
      <c r="AB17" s="25" t="n">
        <f aca="false">AB16*UST</f>
        <v>21104.3341872182</v>
      </c>
      <c r="AC17" s="25" t="n">
        <f aca="false">AC16*UST</f>
        <v>21435.2619611498</v>
      </c>
      <c r="AD17" s="25" t="n">
        <f aca="false">AD16*UST</f>
        <v>21758.909324055</v>
      </c>
      <c r="AE17" s="25" t="n">
        <f aca="false">AE16*UST</f>
        <v>21980.312791769</v>
      </c>
      <c r="AF17" s="25" t="n">
        <f aca="false">AF16*UST</f>
        <v>22041.6924369748</v>
      </c>
      <c r="AG17" s="25" t="n">
        <f aca="false">AG16*UST</f>
        <v>22041.6924369748</v>
      </c>
      <c r="AH17" s="25" t="n">
        <f aca="false">AH16*UST</f>
        <v>22041.6924369748</v>
      </c>
      <c r="AI17" s="25" t="n">
        <f aca="false">AI16*UST</f>
        <v>22041.6924369748</v>
      </c>
      <c r="AJ17" s="25" t="n">
        <f aca="false">AJ16*UST</f>
        <v>22041.6924369748</v>
      </c>
      <c r="AK17" s="25" t="n">
        <f aca="false">AK16*UST</f>
        <v>22041.6924369748</v>
      </c>
      <c r="AL17" s="25" t="n">
        <f aca="false">AL16*UST</f>
        <v>22041.6924369748</v>
      </c>
      <c r="AM17" s="25" t="n">
        <f aca="false">AM16*UST</f>
        <v>22373.6706554622</v>
      </c>
      <c r="AN17" s="25" t="n">
        <f aca="false">AN16*UST</f>
        <v>22373.6706554622</v>
      </c>
      <c r="AO17" s="25" t="n">
        <f aca="false">AO16*UST</f>
        <v>22373.6706554622</v>
      </c>
      <c r="AP17" s="25" t="n">
        <f aca="false">AP16*UST</f>
        <v>22373.6706554622</v>
      </c>
      <c r="AQ17" s="25" t="n">
        <f aca="false">AQ16*UST</f>
        <v>22373.6706554622</v>
      </c>
      <c r="AR17" s="25" t="n">
        <f aca="false">AR16*UST</f>
        <v>22373.6706554622</v>
      </c>
      <c r="AS17" s="25" t="n">
        <f aca="false">AS16*UST</f>
        <v>22373.6706554622</v>
      </c>
      <c r="AT17" s="25" t="n">
        <f aca="false">AT16*UST</f>
        <v>22373.6706554622</v>
      </c>
      <c r="AU17" s="25" t="n">
        <f aca="false">AU16*UST</f>
        <v>22373.6706554622</v>
      </c>
      <c r="AV17" s="25" t="n">
        <f aca="false">AV16*UST</f>
        <v>22373.6706554622</v>
      </c>
      <c r="AW17" s="25" t="n">
        <f aca="false">AW16*UST</f>
        <v>22373.6706554622</v>
      </c>
      <c r="AX17" s="25" t="n">
        <f aca="false">AX16*UST</f>
        <v>22373.6706554622</v>
      </c>
      <c r="AY17" s="25" t="n">
        <f aca="false">AY16*UST</f>
        <v>22740.2184383193</v>
      </c>
      <c r="AZ17" s="25" t="n">
        <f aca="false">AZ16*UST</f>
        <v>22740.2184383193</v>
      </c>
      <c r="BA17" s="25" t="n">
        <f aca="false">BA16*UST</f>
        <v>22740.2184383193</v>
      </c>
      <c r="BB17" s="25" t="n">
        <f aca="false">BB16*UST</f>
        <v>22740.2184383193</v>
      </c>
      <c r="BC17" s="25" t="n">
        <f aca="false">BC16*UST</f>
        <v>22740.2184383193</v>
      </c>
      <c r="BD17" s="25" t="n">
        <f aca="false">BD16*UST</f>
        <v>22740.2184383193</v>
      </c>
      <c r="BE17" s="25" t="n">
        <f aca="false">BE16*UST</f>
        <v>22740.2184383193</v>
      </c>
      <c r="BF17" s="25" t="n">
        <f aca="false">BF16*UST</f>
        <v>22740.2184383193</v>
      </c>
      <c r="BG17" s="25" t="n">
        <f aca="false">BG16*UST</f>
        <v>22740.2184383193</v>
      </c>
      <c r="BH17" s="25" t="n">
        <f aca="false">BH16*UST</f>
        <v>22740.2184383193</v>
      </c>
      <c r="BI17" s="25" t="n">
        <f aca="false">BI16*UST</f>
        <v>22740.2184383193</v>
      </c>
      <c r="BJ17" s="25" t="n">
        <f aca="false">BJ16*UST</f>
        <v>22740.2184383193</v>
      </c>
    </row>
    <row r="18" customFormat="false" ht="15" hidden="false" customHeight="false" outlineLevel="0" collapsed="false">
      <c r="B18" s="2" t="s">
        <v>105</v>
      </c>
      <c r="C18" s="25" t="n">
        <f aca="false">C12*Neben_WE</f>
        <v>419.647058823529</v>
      </c>
      <c r="D18" s="25" t="n">
        <f aca="false">D12*Neben_WE</f>
        <v>551.591294117647</v>
      </c>
      <c r="E18" s="25" t="n">
        <f aca="false">E12*Neben_WE</f>
        <v>680.632756235294</v>
      </c>
      <c r="F18" s="25" t="n">
        <f aca="false">F12*Neben_WE</f>
        <v>786.667238959462</v>
      </c>
      <c r="G18" s="25" t="n">
        <f aca="false">G12*Neben_WE</f>
        <v>870.200895836808</v>
      </c>
      <c r="H18" s="25" t="n">
        <f aca="false">H12*Neben_WE</f>
        <v>951.896812262852</v>
      </c>
      <c r="I18" s="25" t="n">
        <f aca="false">I12*Neben_WE</f>
        <v>1031.79541852752</v>
      </c>
      <c r="J18" s="25" t="n">
        <f aca="false">J12*Neben_WE</f>
        <v>1109.93625545437</v>
      </c>
      <c r="K18" s="25" t="n">
        <f aca="false">K12*Neben_WE</f>
        <v>1186.35799396883</v>
      </c>
      <c r="L18" s="25" t="n">
        <f aca="false">L12*Neben_WE</f>
        <v>1261.09845423597</v>
      </c>
      <c r="M18" s="25" t="n">
        <f aca="false">M12*Neben_WE</f>
        <v>1334.19462437723</v>
      </c>
      <c r="N18" s="25" t="n">
        <f aca="false">N12*Neben_WE</f>
        <v>1405.68267877539</v>
      </c>
      <c r="O18" s="25" t="n">
        <f aca="false">O12*Neben_WE</f>
        <v>1470.55597917006</v>
      </c>
      <c r="P18" s="25" t="n">
        <f aca="false">P12*Neben_WE</f>
        <v>1528.96005014933</v>
      </c>
      <c r="Q18" s="25" t="n">
        <f aca="false">Q12*Neben_WE</f>
        <v>1586.07923156705</v>
      </c>
      <c r="R18" s="25" t="n">
        <f aca="false">R12*Neben_WE</f>
        <v>1641.94179099358</v>
      </c>
      <c r="S18" s="25" t="n">
        <f aca="false">S12*Neben_WE</f>
        <v>1696.57537411273</v>
      </c>
      <c r="T18" s="25" t="n">
        <f aca="false">T12*Neben_WE</f>
        <v>1750.00701840326</v>
      </c>
      <c r="U18" s="25" t="n">
        <f aca="false">U12*Neben_WE</f>
        <v>1802.2631665194</v>
      </c>
      <c r="V18" s="25" t="n">
        <f aca="false">V12*Neben_WE</f>
        <v>1853.36967937698</v>
      </c>
      <c r="W18" s="25" t="n">
        <f aca="false">W12*Neben_WE</f>
        <v>1903.35184895169</v>
      </c>
      <c r="X18" s="25" t="n">
        <f aca="false">X12*Neben_WE</f>
        <v>1952.23441079576</v>
      </c>
      <c r="Y18" s="25" t="n">
        <f aca="false">Y12*Neben_WE</f>
        <v>2000.04155627927</v>
      </c>
      <c r="Z18" s="25" t="n">
        <f aca="false">Z12*Neben_WE</f>
        <v>2046.79694456213</v>
      </c>
      <c r="AA18" s="25" t="n">
        <f aca="false">AA12*Neben_WE</f>
        <v>2087.48169749605</v>
      </c>
      <c r="AB18" s="25" t="n">
        <f aca="false">AB12*Neben_WE</f>
        <v>2122.2293690587</v>
      </c>
      <c r="AC18" s="25" t="n">
        <f aca="false">AC12*Neben_WE</f>
        <v>2156.21259184697</v>
      </c>
      <c r="AD18" s="25" t="n">
        <f aca="false">AD12*Neben_WE</f>
        <v>2189.4481837339</v>
      </c>
      <c r="AE18" s="25" t="n">
        <f aca="false">AE12*Neben_WE</f>
        <v>2212.18427288118</v>
      </c>
      <c r="AF18" s="25" t="n">
        <f aca="false">AF12*Neben_WE</f>
        <v>2218.48739495798</v>
      </c>
      <c r="AG18" s="25" t="n">
        <f aca="false">AG12*Neben_WE</f>
        <v>2218.48739495798</v>
      </c>
      <c r="AH18" s="25" t="n">
        <f aca="false">AH12*Neben_WE</f>
        <v>2218.48739495798</v>
      </c>
      <c r="AI18" s="25" t="n">
        <f aca="false">AI12*Neben_WE</f>
        <v>2218.48739495798</v>
      </c>
      <c r="AJ18" s="25" t="n">
        <f aca="false">AJ12*Neben_WE</f>
        <v>2218.48739495798</v>
      </c>
      <c r="AK18" s="25" t="n">
        <f aca="false">AK12*Neben_WE</f>
        <v>2218.48739495798</v>
      </c>
      <c r="AL18" s="25" t="n">
        <f aca="false">AL12*Neben_WE</f>
        <v>2218.48739495798</v>
      </c>
      <c r="AM18" s="25" t="n">
        <f aca="false">AM12*Neben_WE</f>
        <v>2218.48739495798</v>
      </c>
      <c r="AN18" s="25" t="n">
        <f aca="false">AN12*Neben_WE</f>
        <v>2218.48739495798</v>
      </c>
      <c r="AO18" s="25" t="n">
        <f aca="false">AO12*Neben_WE</f>
        <v>2218.48739495798</v>
      </c>
      <c r="AP18" s="25" t="n">
        <f aca="false">AP12*Neben_WE</f>
        <v>2218.48739495798</v>
      </c>
      <c r="AQ18" s="25" t="n">
        <f aca="false">AQ12*Neben_WE</f>
        <v>2218.48739495798</v>
      </c>
      <c r="AR18" s="25" t="n">
        <f aca="false">AR12*Neben_WE</f>
        <v>2218.48739495798</v>
      </c>
      <c r="AS18" s="25" t="n">
        <f aca="false">AS12*Neben_WE</f>
        <v>2218.48739495798</v>
      </c>
      <c r="AT18" s="25" t="n">
        <f aca="false">AT12*Neben_WE</f>
        <v>2218.48739495798</v>
      </c>
      <c r="AU18" s="25" t="n">
        <f aca="false">AU12*Neben_WE</f>
        <v>2218.48739495798</v>
      </c>
      <c r="AV18" s="25" t="n">
        <f aca="false">AV12*Neben_WE</f>
        <v>2218.48739495798</v>
      </c>
      <c r="AW18" s="25" t="n">
        <f aca="false">AW12*Neben_WE</f>
        <v>2218.48739495798</v>
      </c>
      <c r="AX18" s="25" t="n">
        <f aca="false">AX12*Neben_WE</f>
        <v>2218.48739495798</v>
      </c>
      <c r="AY18" s="25" t="n">
        <f aca="false">AY12*Neben_WE</f>
        <v>2218.48739495798</v>
      </c>
      <c r="AZ18" s="25" t="n">
        <f aca="false">AZ12*Neben_WE</f>
        <v>2218.48739495798</v>
      </c>
      <c r="BA18" s="25" t="n">
        <f aca="false">BA12*Neben_WE</f>
        <v>2218.48739495798</v>
      </c>
      <c r="BB18" s="25" t="n">
        <f aca="false">BB12*Neben_WE</f>
        <v>2218.48739495798</v>
      </c>
      <c r="BC18" s="25" t="n">
        <f aca="false">BC12*Neben_WE</f>
        <v>2218.48739495798</v>
      </c>
      <c r="BD18" s="25" t="n">
        <f aca="false">BD12*Neben_WE</f>
        <v>2218.48739495798</v>
      </c>
      <c r="BE18" s="25" t="n">
        <f aca="false">BE12*Neben_WE</f>
        <v>2218.48739495798</v>
      </c>
      <c r="BF18" s="25" t="n">
        <f aca="false">BF12*Neben_WE</f>
        <v>2218.48739495798</v>
      </c>
      <c r="BG18" s="25" t="n">
        <f aca="false">BG12*Neben_WE</f>
        <v>2218.48739495798</v>
      </c>
      <c r="BH18" s="25" t="n">
        <f aca="false">BH12*Neben_WE</f>
        <v>2218.48739495798</v>
      </c>
      <c r="BI18" s="25" t="n">
        <f aca="false">BI12*Neben_WE</f>
        <v>2218.48739495798</v>
      </c>
      <c r="BJ18" s="25" t="n">
        <f aca="false">BJ12*Neben_WE</f>
        <v>2218.48739495798</v>
      </c>
    </row>
    <row r="21" customFormat="false" ht="15" hidden="false" customHeight="false" outlineLevel="0" collapsed="false">
      <c r="B21" s="4" t="s">
        <v>363</v>
      </c>
    </row>
    <row r="22" customFormat="false" ht="15" hidden="false" customHeight="false" outlineLevel="0" collapsed="false">
      <c r="B22" s="30" t="s">
        <v>337</v>
      </c>
      <c r="C22" s="31" t="n">
        <v>1</v>
      </c>
      <c r="D22" s="31" t="n">
        <v>2</v>
      </c>
      <c r="E22" s="31" t="n">
        <v>3</v>
      </c>
      <c r="F22" s="31" t="n">
        <v>4</v>
      </c>
      <c r="G22" s="31" t="n">
        <v>5</v>
      </c>
    </row>
    <row r="23" customFormat="false" ht="15" hidden="false" customHeight="false" outlineLevel="0" collapsed="false">
      <c r="B23" s="2" t="s">
        <v>364</v>
      </c>
      <c r="C23" s="25" t="n">
        <f aca="false">SUMIF(Um_Jahr,C22,Um_Beitrag)+SUMIF(Um_Jahr,C22,Um_Service)</f>
        <v>524433.992041264</v>
      </c>
      <c r="D23" s="25" t="n">
        <f aca="false">SUMIF(Um_Jahr,D22,Um_Beitrag)+SUMIF(Um_Jahr,D22,Um_Service)</f>
        <v>960756.011552376</v>
      </c>
      <c r="E23" s="25" t="n">
        <f aca="false">SUMIF(Um_Jahr,E22,Um_Beitrag)+SUMIF(Um_Jahr,E22,Um_Service)</f>
        <v>1211917.67887692</v>
      </c>
      <c r="F23" s="25" t="n">
        <f aca="false">SUMIF(Um_Jahr,F22,Um_Beitrag)+SUMIF(Um_Jahr,F22,Um_Service)</f>
        <v>1249586.54117647</v>
      </c>
      <c r="G23" s="25" t="n">
        <f aca="false">SUMIF(Um_Jahr,G22,Um_Beitrag)+SUMIF(Um_Jahr,G22,Um_Service)</f>
        <v>1272736.92746219</v>
      </c>
    </row>
    <row r="24" customFormat="false" ht="15" hidden="false" customHeight="false" outlineLevel="0" collapsed="false">
      <c r="B24" s="2" t="s">
        <v>365</v>
      </c>
      <c r="C24" s="25" t="n">
        <f aca="false">SUMIF(Um_Jahr,C22,Um_Aufnahme)</f>
        <v>38047.0588235294</v>
      </c>
      <c r="D24" s="25" t="n">
        <f aca="false">SUMIF(Um_Jahr,D22,Um_Aufnahme)</f>
        <v>31129.4117647059</v>
      </c>
      <c r="E24" s="25" t="n">
        <f aca="false">SUMIF(Um_Jahr,E22,Um_Aufnahme)</f>
        <v>27670.5882352941</v>
      </c>
      <c r="F24" s="25" t="n">
        <f aca="false">SUMIF(Um_Jahr,F22,Um_Aufnahme)</f>
        <v>25941.1764705882</v>
      </c>
      <c r="G24" s="25" t="n">
        <f aca="false">SUMIF(Um_Jahr,G22,Um_Aufnahme)</f>
        <v>25941.1764705882</v>
      </c>
    </row>
    <row r="25" customFormat="false" ht="15" hidden="false" customHeight="false" outlineLevel="0" collapsed="false">
      <c r="B25" s="2" t="s">
        <v>366</v>
      </c>
      <c r="C25" s="25" t="n">
        <f aca="false">SUMIF(Um_Jahr,C22,Um_Gesamt)-C23-C24</f>
        <v>59880.1243214704</v>
      </c>
      <c r="D25" s="25" t="n">
        <f aca="false">SUMIF(Um_Jahr,D22,Um_Gesamt)-D23-D24</f>
        <v>109699.581429553</v>
      </c>
      <c r="E25" s="25" t="n">
        <f aca="false">SUMIF(Um_Jahr,E22,Um_Gesamt)-E23-E24</f>
        <v>135867.667378567</v>
      </c>
      <c r="F25" s="25" t="n">
        <f aca="false">SUMIF(Um_Jahr,F22,Um_Gesamt)-F23-F24</f>
        <v>137546.218487395</v>
      </c>
      <c r="G25" s="25" t="n">
        <f aca="false">SUMIF(Um_Jahr,G22,Um_Gesamt)-G23-G24</f>
        <v>137546.218487395</v>
      </c>
    </row>
    <row r="26" customFormat="false" ht="15" hidden="false" customHeight="false" outlineLevel="0" collapsed="false">
      <c r="B26" s="8" t="s">
        <v>367</v>
      </c>
      <c r="C26" s="35" t="n">
        <f aca="false">SUMIF(Um_Jahr,C22,Um_Gesamt)</f>
        <v>622361.175186264</v>
      </c>
      <c r="D26" s="35" t="n">
        <f aca="false">SUMIF(Um_Jahr,D22,Um_Gesamt)</f>
        <v>1101585.00474663</v>
      </c>
      <c r="E26" s="35" t="n">
        <f aca="false">SUMIF(Um_Jahr,E22,Um_Gesamt)</f>
        <v>1375455.93449078</v>
      </c>
      <c r="F26" s="35" t="n">
        <f aca="false">SUMIF(Um_Jahr,F22,Um_Gesamt)</f>
        <v>1413073.93613445</v>
      </c>
      <c r="G26" s="35" t="n">
        <f aca="false">SUMIF(Um_Jahr,G22,Um_Gesamt)</f>
        <v>1436224.32242017</v>
      </c>
    </row>
    <row r="27" customFormat="false" ht="15" hidden="false" customHeight="false" outlineLevel="0" collapsed="false">
      <c r="B27" s="2" t="s">
        <v>368</v>
      </c>
      <c r="C27" s="25" t="n">
        <f aca="false">C26/Flaeche</f>
        <v>315.055773608517</v>
      </c>
      <c r="D27" s="25" t="n">
        <f aca="false">D26/Flaeche</f>
        <v>557.651617265685</v>
      </c>
      <c r="E27" s="25" t="n">
        <f aca="false">E26/Flaeche</f>
        <v>696.292363314155</v>
      </c>
      <c r="F27" s="25" t="n">
        <f aca="false">F26/Flaeche</f>
        <v>715.335595896757</v>
      </c>
      <c r="G27" s="25" t="n">
        <f aca="false">G26/Flaeche</f>
        <v>727.054936934377</v>
      </c>
    </row>
    <row r="30" customFormat="false" ht="15" hidden="false" customHeight="false" outlineLevel="0" collapsed="false">
      <c r="B30" s="4" t="s">
        <v>369</v>
      </c>
    </row>
    <row r="31" customFormat="false" ht="15" hidden="false" customHeight="false" outlineLevel="0" collapsed="false">
      <c r="B31" s="2" t="s">
        <v>370</v>
      </c>
      <c r="C31" s="36" t="n">
        <f aca="false">IF(C16-Kosten!H23&gt;=0,1,0)</f>
        <v>0</v>
      </c>
      <c r="D31" s="36" t="n">
        <f aca="false">IF(D16-Kosten!I23&gt;=0,1,0)</f>
        <v>0</v>
      </c>
      <c r="E31" s="36" t="n">
        <f aca="false">IF(E16-Kosten!J23&gt;=0,1,0)</f>
        <v>0</v>
      </c>
      <c r="F31" s="36" t="n">
        <f aca="false">IF(F16-Kosten!K23&gt;=0,1,0)</f>
        <v>0</v>
      </c>
      <c r="G31" s="36" t="n">
        <f aca="false">IF(G16-Kosten!L23&gt;=0,1,0)</f>
        <v>0</v>
      </c>
      <c r="H31" s="36" t="n">
        <f aca="false">IF(H16-Kosten!M23&gt;=0,1,0)</f>
        <v>0</v>
      </c>
      <c r="I31" s="36" t="n">
        <f aca="false">IF(I16-Kosten!N23&gt;=0,1,0)</f>
        <v>0</v>
      </c>
      <c r="J31" s="36" t="n">
        <f aca="false">IF(J16-Kosten!O23&gt;=0,1,0)</f>
        <v>0</v>
      </c>
      <c r="K31" s="36" t="n">
        <f aca="false">IF(K16-Kosten!P23&gt;=0,1,0)</f>
        <v>0</v>
      </c>
      <c r="L31" s="36" t="n">
        <f aca="false">IF(L16-Kosten!Q23&gt;=0,1,0)</f>
        <v>0</v>
      </c>
      <c r="M31" s="36" t="n">
        <f aca="false">IF(M16-Kosten!R23&gt;=0,1,0)</f>
        <v>0</v>
      </c>
      <c r="N31" s="36" t="n">
        <f aca="false">IF(N16-Kosten!S23&gt;=0,1,0)</f>
        <v>1</v>
      </c>
      <c r="O31" s="36" t="n">
        <f aca="false">IF(O16-Kosten!T23&gt;=0,1,0)</f>
        <v>0</v>
      </c>
      <c r="P31" s="36" t="n">
        <f aca="false">IF(P16-Kosten!U23&gt;=0,1,0)</f>
        <v>1</v>
      </c>
      <c r="Q31" s="36" t="n">
        <f aca="false">IF(Q16-Kosten!V23&gt;=0,1,0)</f>
        <v>1</v>
      </c>
      <c r="R31" s="36" t="n">
        <f aca="false">IF(R16-Kosten!W23&gt;=0,1,0)</f>
        <v>1</v>
      </c>
      <c r="S31" s="36" t="n">
        <f aca="false">IF(S16-Kosten!X23&gt;=0,1,0)</f>
        <v>1</v>
      </c>
      <c r="T31" s="36" t="n">
        <f aca="false">IF(T16-Kosten!Y23&gt;=0,1,0)</f>
        <v>1</v>
      </c>
      <c r="U31" s="36" t="n">
        <f aca="false">IF(U16-Kosten!Z23&gt;=0,1,0)</f>
        <v>1</v>
      </c>
      <c r="V31" s="36" t="n">
        <f aca="false">IF(V16-Kosten!AA23&gt;=0,1,0)</f>
        <v>1</v>
      </c>
      <c r="W31" s="36" t="n">
        <f aca="false">IF(W16-Kosten!AB23&gt;=0,1,0)</f>
        <v>1</v>
      </c>
      <c r="X31" s="36" t="n">
        <f aca="false">IF(X16-Kosten!AC23&gt;=0,1,0)</f>
        <v>1</v>
      </c>
      <c r="Y31" s="36" t="n">
        <f aca="false">IF(Y16-Kosten!AD23&gt;=0,1,0)</f>
        <v>1</v>
      </c>
      <c r="Z31" s="36" t="n">
        <f aca="false">IF(Z16-Kosten!AE23&gt;=0,1,0)</f>
        <v>1</v>
      </c>
      <c r="AA31" s="36" t="n">
        <f aca="false">IF(AA16-Kosten!AF23&gt;=0,1,0)</f>
        <v>1</v>
      </c>
      <c r="AB31" s="36" t="n">
        <f aca="false">IF(AB16-Kosten!AG23&gt;=0,1,0)</f>
        <v>1</v>
      </c>
      <c r="AC31" s="36" t="n">
        <f aca="false">IF(AC16-Kosten!AH23&gt;=0,1,0)</f>
        <v>1</v>
      </c>
      <c r="AD31" s="36" t="n">
        <f aca="false">IF(AD16-Kosten!AI23&gt;=0,1,0)</f>
        <v>1</v>
      </c>
      <c r="AE31" s="36" t="n">
        <f aca="false">IF(AE16-Kosten!AJ23&gt;=0,1,0)</f>
        <v>1</v>
      </c>
      <c r="AF31" s="36" t="n">
        <f aca="false">IF(AF16-Kosten!AK23&gt;=0,1,0)</f>
        <v>1</v>
      </c>
      <c r="AG31" s="36" t="n">
        <f aca="false">IF(AG16-Kosten!AL23&gt;=0,1,0)</f>
        <v>1</v>
      </c>
      <c r="AH31" s="36" t="n">
        <f aca="false">IF(AH16-Kosten!AM23&gt;=0,1,0)</f>
        <v>1</v>
      </c>
      <c r="AI31" s="36" t="n">
        <f aca="false">IF(AI16-Kosten!AN23&gt;=0,1,0)</f>
        <v>1</v>
      </c>
      <c r="AJ31" s="36" t="n">
        <f aca="false">IF(AJ16-Kosten!AO23&gt;=0,1,0)</f>
        <v>1</v>
      </c>
      <c r="AK31" s="36" t="n">
        <f aca="false">IF(AK16-Kosten!AP23&gt;=0,1,0)</f>
        <v>1</v>
      </c>
      <c r="AL31" s="36" t="n">
        <f aca="false">IF(AL16-Kosten!AQ23&gt;=0,1,0)</f>
        <v>1</v>
      </c>
      <c r="AM31" s="36" t="n">
        <f aca="false">IF(AM16-Kosten!AR23&gt;=0,1,0)</f>
        <v>1</v>
      </c>
      <c r="AN31" s="36" t="n">
        <f aca="false">IF(AN16-Kosten!AS23&gt;=0,1,0)</f>
        <v>1</v>
      </c>
      <c r="AO31" s="36" t="n">
        <f aca="false">IF(AO16-Kosten!AT23&gt;=0,1,0)</f>
        <v>1</v>
      </c>
      <c r="AP31" s="36" t="n">
        <f aca="false">IF(AP16-Kosten!AU23&gt;=0,1,0)</f>
        <v>1</v>
      </c>
      <c r="AQ31" s="36" t="n">
        <f aca="false">IF(AQ16-Kosten!AV23&gt;=0,1,0)</f>
        <v>1</v>
      </c>
      <c r="AR31" s="36" t="n">
        <f aca="false">IF(AR16-Kosten!AW23&gt;=0,1,0)</f>
        <v>1</v>
      </c>
      <c r="AS31" s="36" t="n">
        <f aca="false">IF(AS16-Kosten!AX23&gt;=0,1,0)</f>
        <v>1</v>
      </c>
      <c r="AT31" s="36" t="n">
        <f aca="false">IF(AT16-Kosten!AY23&gt;=0,1,0)</f>
        <v>1</v>
      </c>
      <c r="AU31" s="36" t="n">
        <f aca="false">IF(AU16-Kosten!AZ23&gt;=0,1,0)</f>
        <v>1</v>
      </c>
      <c r="AV31" s="36" t="n">
        <f aca="false">IF(AV16-Kosten!BA23&gt;=0,1,0)</f>
        <v>1</v>
      </c>
      <c r="AW31" s="36" t="n">
        <f aca="false">IF(AW16-Kosten!BB23&gt;=0,1,0)</f>
        <v>1</v>
      </c>
      <c r="AX31" s="36" t="n">
        <f aca="false">IF(AX16-Kosten!BC23&gt;=0,1,0)</f>
        <v>1</v>
      </c>
      <c r="AY31" s="36" t="n">
        <f aca="false">IF(AY16-Kosten!BD23&gt;=0,1,0)</f>
        <v>1</v>
      </c>
      <c r="AZ31" s="36" t="n">
        <f aca="false">IF(AZ16-Kosten!BE23&gt;=0,1,0)</f>
        <v>1</v>
      </c>
      <c r="BA31" s="36" t="n">
        <f aca="false">IF(BA16-Kosten!BF23&gt;=0,1,0)</f>
        <v>1</v>
      </c>
      <c r="BB31" s="36" t="n">
        <f aca="false">IF(BB16-Kosten!BG23&gt;=0,1,0)</f>
        <v>1</v>
      </c>
      <c r="BC31" s="36" t="n">
        <f aca="false">IF(BC16-Kosten!BH23&gt;=0,1,0)</f>
        <v>1</v>
      </c>
      <c r="BD31" s="36" t="n">
        <f aca="false">IF(BD16-Kosten!BI23&gt;=0,1,0)</f>
        <v>1</v>
      </c>
      <c r="BE31" s="36" t="n">
        <f aca="false">IF(BE16-Kosten!BJ23&gt;=0,1,0)</f>
        <v>1</v>
      </c>
      <c r="BF31" s="36" t="n">
        <f aca="false">IF(BF16-Kosten!BK23&gt;=0,1,0)</f>
        <v>1</v>
      </c>
      <c r="BG31" s="36" t="n">
        <f aca="false">IF(BG16-Kosten!BL23&gt;=0,1,0)</f>
        <v>1</v>
      </c>
      <c r="BH31" s="36" t="n">
        <f aca="false">IF(BH16-Kosten!BM23&gt;=0,1,0)</f>
        <v>1</v>
      </c>
      <c r="BI31" s="36" t="n">
        <f aca="false">IF(BI16-Kosten!BN23&gt;=0,1,0)</f>
        <v>1</v>
      </c>
      <c r="BJ31" s="36" t="n">
        <f aca="false">IF(BJ16-Kosten!BO23&gt;=0,1,0)</f>
        <v>1</v>
      </c>
    </row>
    <row r="32" customFormat="false" ht="15" hidden="false" customHeight="false" outlineLevel="0" collapsed="false">
      <c r="B32" s="2" t="s">
        <v>371</v>
      </c>
      <c r="C32" s="36" t="n">
        <f aca="false">IF(C16-Kosten!H23-Finanzierung!H61-Finanzierung!H62&gt;=0,1,0)</f>
        <v>0</v>
      </c>
      <c r="D32" s="36" t="n">
        <f aca="false">IF(D16-Kosten!I23-Finanzierung!I61-Finanzierung!I62&gt;=0,1,0)</f>
        <v>0</v>
      </c>
      <c r="E32" s="36" t="n">
        <f aca="false">IF(E16-Kosten!J23-Finanzierung!J61-Finanzierung!J62&gt;=0,1,0)</f>
        <v>0</v>
      </c>
      <c r="F32" s="36" t="n">
        <f aca="false">IF(F16-Kosten!K23-Finanzierung!K61-Finanzierung!K62&gt;=0,1,0)</f>
        <v>0</v>
      </c>
      <c r="G32" s="36" t="n">
        <f aca="false">IF(G16-Kosten!L23-Finanzierung!L61-Finanzierung!L62&gt;=0,1,0)</f>
        <v>0</v>
      </c>
      <c r="H32" s="36" t="n">
        <f aca="false">IF(H16-Kosten!M23-Finanzierung!M61-Finanzierung!M62&gt;=0,1,0)</f>
        <v>0</v>
      </c>
      <c r="I32" s="36" t="n">
        <f aca="false">IF(I16-Kosten!N23-Finanzierung!N61-Finanzierung!N62&gt;=0,1,0)</f>
        <v>0</v>
      </c>
      <c r="J32" s="36" t="n">
        <f aca="false">IF(J16-Kosten!O23-Finanzierung!O61-Finanzierung!O62&gt;=0,1,0)</f>
        <v>0</v>
      </c>
      <c r="K32" s="36" t="n">
        <f aca="false">IF(K16-Kosten!P23-Finanzierung!P61-Finanzierung!P62&gt;=0,1,0)</f>
        <v>0</v>
      </c>
      <c r="L32" s="36" t="n">
        <f aca="false">IF(L16-Kosten!Q23-Finanzierung!Q61-Finanzierung!Q62&gt;=0,1,0)</f>
        <v>0</v>
      </c>
      <c r="M32" s="36" t="n">
        <f aca="false">IF(M16-Kosten!R23-Finanzierung!R61-Finanzierung!R62&gt;=0,1,0)</f>
        <v>0</v>
      </c>
      <c r="N32" s="36" t="n">
        <f aca="false">IF(N16-Kosten!S23-Finanzierung!S61-Finanzierung!S62&gt;=0,1,0)</f>
        <v>0</v>
      </c>
      <c r="O32" s="36" t="n">
        <f aca="false">IF(O16-Kosten!T23-Finanzierung!T61-Finanzierung!T62&gt;=0,1,0)</f>
        <v>0</v>
      </c>
      <c r="P32" s="36" t="n">
        <f aca="false">IF(P16-Kosten!U23-Finanzierung!U61-Finanzierung!U62&gt;=0,1,0)</f>
        <v>0</v>
      </c>
      <c r="Q32" s="36" t="n">
        <f aca="false">IF(Q16-Kosten!V23-Finanzierung!V61-Finanzierung!V62&gt;=0,1,0)</f>
        <v>0</v>
      </c>
      <c r="R32" s="36" t="n">
        <f aca="false">IF(R16-Kosten!W23-Finanzierung!W61-Finanzierung!W62&gt;=0,1,0)</f>
        <v>0</v>
      </c>
      <c r="S32" s="36" t="n">
        <f aca="false">IF(S16-Kosten!X23-Finanzierung!X61-Finanzierung!X62&gt;=0,1,0)</f>
        <v>0</v>
      </c>
      <c r="T32" s="36" t="n">
        <f aca="false">IF(T16-Kosten!Y23-Finanzierung!Y61-Finanzierung!Y62&gt;=0,1,0)</f>
        <v>0</v>
      </c>
      <c r="U32" s="36" t="n">
        <f aca="false">IF(U16-Kosten!Z23-Finanzierung!Z61-Finanzierung!Z62&gt;=0,1,0)</f>
        <v>1</v>
      </c>
      <c r="V32" s="36" t="n">
        <f aca="false">IF(V16-Kosten!AA23-Finanzierung!AA61-Finanzierung!AA62&gt;=0,1,0)</f>
        <v>1</v>
      </c>
      <c r="W32" s="36" t="n">
        <f aca="false">IF(W16-Kosten!AB23-Finanzierung!AB61-Finanzierung!AB62&gt;=0,1,0)</f>
        <v>1</v>
      </c>
      <c r="X32" s="36" t="n">
        <f aca="false">IF(X16-Kosten!AC23-Finanzierung!AC61-Finanzierung!AC62&gt;=0,1,0)</f>
        <v>1</v>
      </c>
      <c r="Y32" s="36" t="n">
        <f aca="false">IF(Y16-Kosten!AD23-Finanzierung!AD61-Finanzierung!AD62&gt;=0,1,0)</f>
        <v>1</v>
      </c>
      <c r="Z32" s="36" t="n">
        <f aca="false">IF(Z16-Kosten!AE23-Finanzierung!AE61-Finanzierung!AE62&gt;=0,1,0)</f>
        <v>1</v>
      </c>
      <c r="AA32" s="36" t="n">
        <f aca="false">IF(AA16-Kosten!AF23-Finanzierung!AF61-Finanzierung!AF62&gt;=0,1,0)</f>
        <v>1</v>
      </c>
      <c r="AB32" s="36" t="n">
        <f aca="false">IF(AB16-Kosten!AG23-Finanzierung!AG61-Finanzierung!AG62&gt;=0,1,0)</f>
        <v>1</v>
      </c>
      <c r="AC32" s="36" t="n">
        <f aca="false">IF(AC16-Kosten!AH23-Finanzierung!AH61-Finanzierung!AH62&gt;=0,1,0)</f>
        <v>1</v>
      </c>
      <c r="AD32" s="36" t="n">
        <f aca="false">IF(AD16-Kosten!AI23-Finanzierung!AI61-Finanzierung!AI62&gt;=0,1,0)</f>
        <v>1</v>
      </c>
      <c r="AE32" s="36" t="n">
        <f aca="false">IF(AE16-Kosten!AJ23-Finanzierung!AJ61-Finanzierung!AJ62&gt;=0,1,0)</f>
        <v>1</v>
      </c>
      <c r="AF32" s="36" t="n">
        <f aca="false">IF(AF16-Kosten!AK23-Finanzierung!AK61-Finanzierung!AK62&gt;=0,1,0)</f>
        <v>1</v>
      </c>
      <c r="AG32" s="36" t="n">
        <f aca="false">IF(AG16-Kosten!AL23-Finanzierung!AL61-Finanzierung!AL62&gt;=0,1,0)</f>
        <v>1</v>
      </c>
      <c r="AH32" s="36" t="n">
        <f aca="false">IF(AH16-Kosten!AM23-Finanzierung!AM61-Finanzierung!AM62&gt;=0,1,0)</f>
        <v>1</v>
      </c>
      <c r="AI32" s="36" t="n">
        <f aca="false">IF(AI16-Kosten!AN23-Finanzierung!AN61-Finanzierung!AN62&gt;=0,1,0)</f>
        <v>1</v>
      </c>
      <c r="AJ32" s="36" t="n">
        <f aca="false">IF(AJ16-Kosten!AO23-Finanzierung!AO61-Finanzierung!AO62&gt;=0,1,0)</f>
        <v>1</v>
      </c>
      <c r="AK32" s="36" t="n">
        <f aca="false">IF(AK16-Kosten!AP23-Finanzierung!AP61-Finanzierung!AP62&gt;=0,1,0)</f>
        <v>1</v>
      </c>
      <c r="AL32" s="36" t="n">
        <f aca="false">IF(AL16-Kosten!AQ23-Finanzierung!AQ61-Finanzierung!AQ62&gt;=0,1,0)</f>
        <v>1</v>
      </c>
      <c r="AM32" s="36" t="n">
        <f aca="false">IF(AM16-Kosten!AR23-Finanzierung!AR61-Finanzierung!AR62&gt;=0,1,0)</f>
        <v>1</v>
      </c>
      <c r="AN32" s="36" t="n">
        <f aca="false">IF(AN16-Kosten!AS23-Finanzierung!AS61-Finanzierung!AS62&gt;=0,1,0)</f>
        <v>1</v>
      </c>
      <c r="AO32" s="36" t="n">
        <f aca="false">IF(AO16-Kosten!AT23-Finanzierung!AT61-Finanzierung!AT62&gt;=0,1,0)</f>
        <v>1</v>
      </c>
      <c r="AP32" s="36" t="n">
        <f aca="false">IF(AP16-Kosten!AU23-Finanzierung!AU61-Finanzierung!AU62&gt;=0,1,0)</f>
        <v>1</v>
      </c>
      <c r="AQ32" s="36" t="n">
        <f aca="false">IF(AQ16-Kosten!AV23-Finanzierung!AV61-Finanzierung!AV62&gt;=0,1,0)</f>
        <v>1</v>
      </c>
      <c r="AR32" s="36" t="n">
        <f aca="false">IF(AR16-Kosten!AW23-Finanzierung!AW61-Finanzierung!AW62&gt;=0,1,0)</f>
        <v>1</v>
      </c>
      <c r="AS32" s="36" t="n">
        <f aca="false">IF(AS16-Kosten!AX23-Finanzierung!AX61-Finanzierung!AX62&gt;=0,1,0)</f>
        <v>1</v>
      </c>
      <c r="AT32" s="36" t="n">
        <f aca="false">IF(AT16-Kosten!AY23-Finanzierung!AY61-Finanzierung!AY62&gt;=0,1,0)</f>
        <v>1</v>
      </c>
      <c r="AU32" s="36" t="n">
        <f aca="false">IF(AU16-Kosten!AZ23-Finanzierung!AZ61-Finanzierung!AZ62&gt;=0,1,0)</f>
        <v>1</v>
      </c>
      <c r="AV32" s="36" t="n">
        <f aca="false">IF(AV16-Kosten!BA23-Finanzierung!BA61-Finanzierung!BA62&gt;=0,1,0)</f>
        <v>1</v>
      </c>
      <c r="AW32" s="36" t="n">
        <f aca="false">IF(AW16-Kosten!BB23-Finanzierung!BB61-Finanzierung!BB62&gt;=0,1,0)</f>
        <v>1</v>
      </c>
      <c r="AX32" s="36" t="n">
        <f aca="false">IF(AX16-Kosten!BC23-Finanzierung!BC61-Finanzierung!BC62&gt;=0,1,0)</f>
        <v>1</v>
      </c>
      <c r="AY32" s="36" t="n">
        <f aca="false">IF(AY16-Kosten!BD23-Finanzierung!BD61-Finanzierung!BD62&gt;=0,1,0)</f>
        <v>1</v>
      </c>
      <c r="AZ32" s="36" t="n">
        <f aca="false">IF(AZ16-Kosten!BE23-Finanzierung!BE61-Finanzierung!BE62&gt;=0,1,0)</f>
        <v>1</v>
      </c>
      <c r="BA32" s="36" t="n">
        <f aca="false">IF(BA16-Kosten!BF23-Finanzierung!BF61-Finanzierung!BF62&gt;=0,1,0)</f>
        <v>1</v>
      </c>
      <c r="BB32" s="36" t="n">
        <f aca="false">IF(BB16-Kosten!BG23-Finanzierung!BG61-Finanzierung!BG62&gt;=0,1,0)</f>
        <v>1</v>
      </c>
      <c r="BC32" s="36" t="n">
        <f aca="false">IF(BC16-Kosten!BH23-Finanzierung!BH61-Finanzierung!BH62&gt;=0,1,0)</f>
        <v>1</v>
      </c>
      <c r="BD32" s="36" t="n">
        <f aca="false">IF(BD16-Kosten!BI23-Finanzierung!BI61-Finanzierung!BI62&gt;=0,1,0)</f>
        <v>1</v>
      </c>
      <c r="BE32" s="36" t="n">
        <f aca="false">IF(BE16-Kosten!BJ23-Finanzierung!BJ61-Finanzierung!BJ62&gt;=0,1,0)</f>
        <v>1</v>
      </c>
      <c r="BF32" s="36" t="n">
        <f aca="false">IF(BF16-Kosten!BK23-Finanzierung!BK61-Finanzierung!BK62&gt;=0,1,0)</f>
        <v>1</v>
      </c>
      <c r="BG32" s="36" t="n">
        <f aca="false">IF(BG16-Kosten!BL23-Finanzierung!BL61-Finanzierung!BL62&gt;=0,1,0)</f>
        <v>1</v>
      </c>
      <c r="BH32" s="36" t="n">
        <f aca="false">IF(BH16-Kosten!BM23-Finanzierung!BM61-Finanzierung!BM62&gt;=0,1,0)</f>
        <v>1</v>
      </c>
      <c r="BI32" s="36" t="n">
        <f aca="false">IF(BI16-Kosten!BN23-Finanzierung!BN61-Finanzierung!BN62&gt;=0,1,0)</f>
        <v>1</v>
      </c>
      <c r="BJ32" s="36" t="n">
        <f aca="false">IF(BJ16-Kosten!BO23-Finanzierung!BO61-Finanzierung!BO62&gt;=0,1,0)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67" min="3" style="0" width="11"/>
    <col collapsed="false" customWidth="true" hidden="false" outlineLevel="0" max="69" min="69" style="0" width="14"/>
  </cols>
  <sheetData>
    <row r="1" customFormat="false" ht="17.35" hidden="false" customHeight="false" outlineLevel="0" collapsed="false">
      <c r="B1" s="1" t="s">
        <v>372</v>
      </c>
    </row>
    <row r="2" customFormat="false" ht="15" hidden="false" customHeight="false" outlineLevel="0" collapsed="false">
      <c r="B2" s="3" t="s">
        <v>373</v>
      </c>
    </row>
    <row r="4" customFormat="false" ht="15" hidden="false" customHeight="false" outlineLevel="0" collapsed="false">
      <c r="B4" s="30" t="s">
        <v>211</v>
      </c>
      <c r="C4" s="31" t="n">
        <v>-5</v>
      </c>
      <c r="D4" s="31" t="n">
        <v>-4</v>
      </c>
      <c r="E4" s="31" t="n">
        <v>-3</v>
      </c>
      <c r="F4" s="31" t="n">
        <v>-2</v>
      </c>
      <c r="G4" s="31" t="n">
        <v>-1</v>
      </c>
      <c r="H4" s="31" t="n">
        <v>1</v>
      </c>
      <c r="I4" s="31" t="n">
        <v>2</v>
      </c>
      <c r="J4" s="31" t="n">
        <v>3</v>
      </c>
      <c r="K4" s="31" t="n">
        <v>4</v>
      </c>
      <c r="L4" s="31" t="n">
        <v>5</v>
      </c>
      <c r="M4" s="31" t="n">
        <v>6</v>
      </c>
      <c r="N4" s="31" t="n">
        <v>7</v>
      </c>
      <c r="O4" s="31" t="n">
        <v>8</v>
      </c>
      <c r="P4" s="31" t="n">
        <v>9</v>
      </c>
      <c r="Q4" s="31" t="n">
        <v>10</v>
      </c>
      <c r="R4" s="31" t="n">
        <v>11</v>
      </c>
      <c r="S4" s="31" t="n">
        <v>12</v>
      </c>
      <c r="T4" s="31" t="n">
        <v>13</v>
      </c>
      <c r="U4" s="31" t="n">
        <v>14</v>
      </c>
      <c r="V4" s="31" t="n">
        <v>15</v>
      </c>
      <c r="W4" s="31" t="n">
        <v>16</v>
      </c>
      <c r="X4" s="31" t="n">
        <v>17</v>
      </c>
      <c r="Y4" s="31" t="n">
        <v>18</v>
      </c>
      <c r="Z4" s="31" t="n">
        <v>19</v>
      </c>
      <c r="AA4" s="31" t="n">
        <v>20</v>
      </c>
      <c r="AB4" s="31" t="n">
        <v>21</v>
      </c>
      <c r="AC4" s="31" t="n">
        <v>22</v>
      </c>
      <c r="AD4" s="31" t="n">
        <v>23</v>
      </c>
      <c r="AE4" s="31" t="n">
        <v>24</v>
      </c>
      <c r="AF4" s="31" t="n">
        <v>25</v>
      </c>
      <c r="AG4" s="31" t="n">
        <v>26</v>
      </c>
      <c r="AH4" s="31" t="n">
        <v>27</v>
      </c>
      <c r="AI4" s="31" t="n">
        <v>28</v>
      </c>
      <c r="AJ4" s="31" t="n">
        <v>29</v>
      </c>
      <c r="AK4" s="31" t="n">
        <v>30</v>
      </c>
      <c r="AL4" s="31" t="n">
        <v>31</v>
      </c>
      <c r="AM4" s="31" t="n">
        <v>32</v>
      </c>
      <c r="AN4" s="31" t="n">
        <v>33</v>
      </c>
      <c r="AO4" s="31" t="n">
        <v>34</v>
      </c>
      <c r="AP4" s="31" t="n">
        <v>35</v>
      </c>
      <c r="AQ4" s="31" t="n">
        <v>36</v>
      </c>
      <c r="AR4" s="31" t="n">
        <v>37</v>
      </c>
      <c r="AS4" s="31" t="n">
        <v>38</v>
      </c>
      <c r="AT4" s="31" t="n">
        <v>39</v>
      </c>
      <c r="AU4" s="31" t="n">
        <v>40</v>
      </c>
      <c r="AV4" s="31" t="n">
        <v>41</v>
      </c>
      <c r="AW4" s="31" t="n">
        <v>42</v>
      </c>
      <c r="AX4" s="31" t="n">
        <v>43</v>
      </c>
      <c r="AY4" s="31" t="n">
        <v>44</v>
      </c>
      <c r="AZ4" s="31" t="n">
        <v>45</v>
      </c>
      <c r="BA4" s="31" t="n">
        <v>46</v>
      </c>
      <c r="BB4" s="31" t="n">
        <v>47</v>
      </c>
      <c r="BC4" s="31" t="n">
        <v>48</v>
      </c>
      <c r="BD4" s="31" t="n">
        <v>49</v>
      </c>
      <c r="BE4" s="31" t="n">
        <v>50</v>
      </c>
      <c r="BF4" s="31" t="n">
        <v>51</v>
      </c>
      <c r="BG4" s="31" t="n">
        <v>52</v>
      </c>
      <c r="BH4" s="31" t="n">
        <v>53</v>
      </c>
      <c r="BI4" s="31" t="n">
        <v>54</v>
      </c>
      <c r="BJ4" s="31" t="n">
        <v>55</v>
      </c>
      <c r="BK4" s="31" t="n">
        <v>56</v>
      </c>
      <c r="BL4" s="31" t="n">
        <v>57</v>
      </c>
      <c r="BM4" s="31" t="n">
        <v>58</v>
      </c>
      <c r="BN4" s="31" t="n">
        <v>59</v>
      </c>
      <c r="BO4" s="31" t="n">
        <v>60</v>
      </c>
      <c r="BQ4" s="30" t="s">
        <v>374</v>
      </c>
    </row>
    <row r="5" customFormat="false" ht="15" hidden="false" customHeight="false" outlineLevel="0" collapsed="false">
      <c r="B5" s="8" t="s">
        <v>337</v>
      </c>
      <c r="C5" s="36" t="n">
        <f aca="false">IF(C4&lt;1,1,INT((C4-1)/12)+1)</f>
        <v>1</v>
      </c>
      <c r="D5" s="36" t="n">
        <f aca="false">IF(D4&lt;1,1,INT((D4-1)/12)+1)</f>
        <v>1</v>
      </c>
      <c r="E5" s="36" t="n">
        <f aca="false">IF(E4&lt;1,1,INT((E4-1)/12)+1)</f>
        <v>1</v>
      </c>
      <c r="F5" s="36" t="n">
        <f aca="false">IF(F4&lt;1,1,INT((F4-1)/12)+1)</f>
        <v>1</v>
      </c>
      <c r="G5" s="36" t="n">
        <f aca="false">IF(G4&lt;1,1,INT((G4-1)/12)+1)</f>
        <v>1</v>
      </c>
      <c r="H5" s="36" t="n">
        <f aca="false">IF(H4&lt;1,1,INT((H4-1)/12)+1)</f>
        <v>1</v>
      </c>
      <c r="I5" s="36" t="n">
        <f aca="false">IF(I4&lt;1,1,INT((I4-1)/12)+1)</f>
        <v>1</v>
      </c>
      <c r="J5" s="36" t="n">
        <f aca="false">IF(J4&lt;1,1,INT((J4-1)/12)+1)</f>
        <v>1</v>
      </c>
      <c r="K5" s="36" t="n">
        <f aca="false">IF(K4&lt;1,1,INT((K4-1)/12)+1)</f>
        <v>1</v>
      </c>
      <c r="L5" s="36" t="n">
        <f aca="false">IF(L4&lt;1,1,INT((L4-1)/12)+1)</f>
        <v>1</v>
      </c>
      <c r="M5" s="36" t="n">
        <f aca="false">IF(M4&lt;1,1,INT((M4-1)/12)+1)</f>
        <v>1</v>
      </c>
      <c r="N5" s="36" t="n">
        <f aca="false">IF(N4&lt;1,1,INT((N4-1)/12)+1)</f>
        <v>1</v>
      </c>
      <c r="O5" s="36" t="n">
        <f aca="false">IF(O4&lt;1,1,INT((O4-1)/12)+1)</f>
        <v>1</v>
      </c>
      <c r="P5" s="36" t="n">
        <f aca="false">IF(P4&lt;1,1,INT((P4-1)/12)+1)</f>
        <v>1</v>
      </c>
      <c r="Q5" s="36" t="n">
        <f aca="false">IF(Q4&lt;1,1,INT((Q4-1)/12)+1)</f>
        <v>1</v>
      </c>
      <c r="R5" s="36" t="n">
        <f aca="false">IF(R4&lt;1,1,INT((R4-1)/12)+1)</f>
        <v>1</v>
      </c>
      <c r="S5" s="36" t="n">
        <f aca="false">IF(S4&lt;1,1,INT((S4-1)/12)+1)</f>
        <v>1</v>
      </c>
      <c r="T5" s="36" t="n">
        <f aca="false">IF(T4&lt;1,1,INT((T4-1)/12)+1)</f>
        <v>2</v>
      </c>
      <c r="U5" s="36" t="n">
        <f aca="false">IF(U4&lt;1,1,INT((U4-1)/12)+1)</f>
        <v>2</v>
      </c>
      <c r="V5" s="36" t="n">
        <f aca="false">IF(V4&lt;1,1,INT((V4-1)/12)+1)</f>
        <v>2</v>
      </c>
      <c r="W5" s="36" t="n">
        <f aca="false">IF(W4&lt;1,1,INT((W4-1)/12)+1)</f>
        <v>2</v>
      </c>
      <c r="X5" s="36" t="n">
        <f aca="false">IF(X4&lt;1,1,INT((X4-1)/12)+1)</f>
        <v>2</v>
      </c>
      <c r="Y5" s="36" t="n">
        <f aca="false">IF(Y4&lt;1,1,INT((Y4-1)/12)+1)</f>
        <v>2</v>
      </c>
      <c r="Z5" s="36" t="n">
        <f aca="false">IF(Z4&lt;1,1,INT((Z4-1)/12)+1)</f>
        <v>2</v>
      </c>
      <c r="AA5" s="36" t="n">
        <f aca="false">IF(AA4&lt;1,1,INT((AA4-1)/12)+1)</f>
        <v>2</v>
      </c>
      <c r="AB5" s="36" t="n">
        <f aca="false">IF(AB4&lt;1,1,INT((AB4-1)/12)+1)</f>
        <v>2</v>
      </c>
      <c r="AC5" s="36" t="n">
        <f aca="false">IF(AC4&lt;1,1,INT((AC4-1)/12)+1)</f>
        <v>2</v>
      </c>
      <c r="AD5" s="36" t="n">
        <f aca="false">IF(AD4&lt;1,1,INT((AD4-1)/12)+1)</f>
        <v>2</v>
      </c>
      <c r="AE5" s="36" t="n">
        <f aca="false">IF(AE4&lt;1,1,INT((AE4-1)/12)+1)</f>
        <v>2</v>
      </c>
      <c r="AF5" s="36" t="n">
        <f aca="false">IF(AF4&lt;1,1,INT((AF4-1)/12)+1)</f>
        <v>3</v>
      </c>
      <c r="AG5" s="36" t="n">
        <f aca="false">IF(AG4&lt;1,1,INT((AG4-1)/12)+1)</f>
        <v>3</v>
      </c>
      <c r="AH5" s="36" t="n">
        <f aca="false">IF(AH4&lt;1,1,INT((AH4-1)/12)+1)</f>
        <v>3</v>
      </c>
      <c r="AI5" s="36" t="n">
        <f aca="false">IF(AI4&lt;1,1,INT((AI4-1)/12)+1)</f>
        <v>3</v>
      </c>
      <c r="AJ5" s="36" t="n">
        <f aca="false">IF(AJ4&lt;1,1,INT((AJ4-1)/12)+1)</f>
        <v>3</v>
      </c>
      <c r="AK5" s="36" t="n">
        <f aca="false">IF(AK4&lt;1,1,INT((AK4-1)/12)+1)</f>
        <v>3</v>
      </c>
      <c r="AL5" s="36" t="n">
        <f aca="false">IF(AL4&lt;1,1,INT((AL4-1)/12)+1)</f>
        <v>3</v>
      </c>
      <c r="AM5" s="36" t="n">
        <f aca="false">IF(AM4&lt;1,1,INT((AM4-1)/12)+1)</f>
        <v>3</v>
      </c>
      <c r="AN5" s="36" t="n">
        <f aca="false">IF(AN4&lt;1,1,INT((AN4-1)/12)+1)</f>
        <v>3</v>
      </c>
      <c r="AO5" s="36" t="n">
        <f aca="false">IF(AO4&lt;1,1,INT((AO4-1)/12)+1)</f>
        <v>3</v>
      </c>
      <c r="AP5" s="36" t="n">
        <f aca="false">IF(AP4&lt;1,1,INT((AP4-1)/12)+1)</f>
        <v>3</v>
      </c>
      <c r="AQ5" s="36" t="n">
        <f aca="false">IF(AQ4&lt;1,1,INT((AQ4-1)/12)+1)</f>
        <v>3</v>
      </c>
      <c r="AR5" s="36" t="n">
        <f aca="false">IF(AR4&lt;1,1,INT((AR4-1)/12)+1)</f>
        <v>4</v>
      </c>
      <c r="AS5" s="36" t="n">
        <f aca="false">IF(AS4&lt;1,1,INT((AS4-1)/12)+1)</f>
        <v>4</v>
      </c>
      <c r="AT5" s="36" t="n">
        <f aca="false">IF(AT4&lt;1,1,INT((AT4-1)/12)+1)</f>
        <v>4</v>
      </c>
      <c r="AU5" s="36" t="n">
        <f aca="false">IF(AU4&lt;1,1,INT((AU4-1)/12)+1)</f>
        <v>4</v>
      </c>
      <c r="AV5" s="36" t="n">
        <f aca="false">IF(AV4&lt;1,1,INT((AV4-1)/12)+1)</f>
        <v>4</v>
      </c>
      <c r="AW5" s="36" t="n">
        <f aca="false">IF(AW4&lt;1,1,INT((AW4-1)/12)+1)</f>
        <v>4</v>
      </c>
      <c r="AX5" s="36" t="n">
        <f aca="false">IF(AX4&lt;1,1,INT((AX4-1)/12)+1)</f>
        <v>4</v>
      </c>
      <c r="AY5" s="36" t="n">
        <f aca="false">IF(AY4&lt;1,1,INT((AY4-1)/12)+1)</f>
        <v>4</v>
      </c>
      <c r="AZ5" s="36" t="n">
        <f aca="false">IF(AZ4&lt;1,1,INT((AZ4-1)/12)+1)</f>
        <v>4</v>
      </c>
      <c r="BA5" s="36" t="n">
        <f aca="false">IF(BA4&lt;1,1,INT((BA4-1)/12)+1)</f>
        <v>4</v>
      </c>
      <c r="BB5" s="36" t="n">
        <f aca="false">IF(BB4&lt;1,1,INT((BB4-1)/12)+1)</f>
        <v>4</v>
      </c>
      <c r="BC5" s="36" t="n">
        <f aca="false">IF(BC4&lt;1,1,INT((BC4-1)/12)+1)</f>
        <v>4</v>
      </c>
      <c r="BD5" s="36" t="n">
        <f aca="false">IF(BD4&lt;1,1,INT((BD4-1)/12)+1)</f>
        <v>5</v>
      </c>
      <c r="BE5" s="36" t="n">
        <f aca="false">IF(BE4&lt;1,1,INT((BE4-1)/12)+1)</f>
        <v>5</v>
      </c>
      <c r="BF5" s="36" t="n">
        <f aca="false">IF(BF4&lt;1,1,INT((BF4-1)/12)+1)</f>
        <v>5</v>
      </c>
      <c r="BG5" s="36" t="n">
        <f aca="false">IF(BG4&lt;1,1,INT((BG4-1)/12)+1)</f>
        <v>5</v>
      </c>
      <c r="BH5" s="36" t="n">
        <f aca="false">IF(BH4&lt;1,1,INT((BH4-1)/12)+1)</f>
        <v>5</v>
      </c>
      <c r="BI5" s="36" t="n">
        <f aca="false">IF(BI4&lt;1,1,INT((BI4-1)/12)+1)</f>
        <v>5</v>
      </c>
      <c r="BJ5" s="36" t="n">
        <f aca="false">IF(BJ4&lt;1,1,INT((BJ4-1)/12)+1)</f>
        <v>5</v>
      </c>
      <c r="BK5" s="36" t="n">
        <f aca="false">IF(BK4&lt;1,1,INT((BK4-1)/12)+1)</f>
        <v>5</v>
      </c>
      <c r="BL5" s="36" t="n">
        <f aca="false">IF(BL4&lt;1,1,INT((BL4-1)/12)+1)</f>
        <v>5</v>
      </c>
      <c r="BM5" s="36" t="n">
        <f aca="false">IF(BM4&lt;1,1,INT((BM4-1)/12)+1)</f>
        <v>5</v>
      </c>
      <c r="BN5" s="36" t="n">
        <f aca="false">IF(BN4&lt;1,1,INT((BN4-1)/12)+1)</f>
        <v>5</v>
      </c>
      <c r="BO5" s="36" t="n">
        <f aca="false">IF(BO4&lt;1,1,INT((BO4-1)/12)+1)</f>
        <v>5</v>
      </c>
    </row>
    <row r="6" customFormat="false" ht="15" hidden="false" customHeight="false" outlineLevel="0" collapsed="false">
      <c r="B6" s="8" t="s">
        <v>338</v>
      </c>
      <c r="C6" s="36" t="n">
        <v>1</v>
      </c>
      <c r="D6" s="36" t="n">
        <v>2</v>
      </c>
      <c r="E6" s="36" t="n">
        <v>3</v>
      </c>
      <c r="F6" s="36" t="n">
        <v>4</v>
      </c>
      <c r="G6" s="36" t="n">
        <v>5</v>
      </c>
      <c r="H6" s="36" t="n">
        <v>6</v>
      </c>
      <c r="I6" s="36" t="n">
        <v>7</v>
      </c>
      <c r="J6" s="36" t="n">
        <v>8</v>
      </c>
      <c r="K6" s="36" t="n">
        <v>9</v>
      </c>
      <c r="L6" s="36" t="n">
        <v>10</v>
      </c>
      <c r="M6" s="36" t="n">
        <v>11</v>
      </c>
      <c r="N6" s="36" t="n">
        <v>12</v>
      </c>
      <c r="O6" s="36" t="n">
        <v>13</v>
      </c>
      <c r="P6" s="36" t="n">
        <v>14</v>
      </c>
      <c r="Q6" s="36" t="n">
        <v>15</v>
      </c>
      <c r="R6" s="36" t="n">
        <v>16</v>
      </c>
      <c r="S6" s="36" t="n">
        <v>17</v>
      </c>
      <c r="T6" s="36" t="n">
        <v>18</v>
      </c>
      <c r="U6" s="36" t="n">
        <v>19</v>
      </c>
      <c r="V6" s="36" t="n">
        <v>20</v>
      </c>
      <c r="W6" s="36" t="n">
        <v>21</v>
      </c>
      <c r="X6" s="36" t="n">
        <v>22</v>
      </c>
      <c r="Y6" s="36" t="n">
        <v>23</v>
      </c>
      <c r="Z6" s="36" t="n">
        <v>24</v>
      </c>
      <c r="AA6" s="36" t="n">
        <v>25</v>
      </c>
      <c r="AB6" s="36" t="n">
        <v>26</v>
      </c>
      <c r="AC6" s="36" t="n">
        <v>27</v>
      </c>
      <c r="AD6" s="36" t="n">
        <v>28</v>
      </c>
      <c r="AE6" s="36" t="n">
        <v>29</v>
      </c>
      <c r="AF6" s="36" t="n">
        <v>30</v>
      </c>
      <c r="AG6" s="36" t="n">
        <v>31</v>
      </c>
      <c r="AH6" s="36" t="n">
        <v>32</v>
      </c>
      <c r="AI6" s="36" t="n">
        <v>33</v>
      </c>
      <c r="AJ6" s="36" t="n">
        <v>34</v>
      </c>
      <c r="AK6" s="36" t="n">
        <v>35</v>
      </c>
      <c r="AL6" s="36" t="n">
        <v>36</v>
      </c>
      <c r="AM6" s="36" t="n">
        <v>37</v>
      </c>
      <c r="AN6" s="36" t="n">
        <v>38</v>
      </c>
      <c r="AO6" s="36" t="n">
        <v>39</v>
      </c>
      <c r="AP6" s="36" t="n">
        <v>40</v>
      </c>
      <c r="AQ6" s="36" t="n">
        <v>41</v>
      </c>
      <c r="AR6" s="36" t="n">
        <v>42</v>
      </c>
      <c r="AS6" s="36" t="n">
        <v>43</v>
      </c>
      <c r="AT6" s="36" t="n">
        <v>44</v>
      </c>
      <c r="AU6" s="36" t="n">
        <v>45</v>
      </c>
      <c r="AV6" s="36" t="n">
        <v>46</v>
      </c>
      <c r="AW6" s="36" t="n">
        <v>47</v>
      </c>
      <c r="AX6" s="36" t="n">
        <v>48</v>
      </c>
      <c r="AY6" s="36" t="n">
        <v>49</v>
      </c>
      <c r="AZ6" s="36" t="n">
        <v>50</v>
      </c>
      <c r="BA6" s="36" t="n">
        <v>51</v>
      </c>
      <c r="BB6" s="36" t="n">
        <v>52</v>
      </c>
      <c r="BC6" s="36" t="n">
        <v>53</v>
      </c>
      <c r="BD6" s="36" t="n">
        <v>54</v>
      </c>
      <c r="BE6" s="36" t="n">
        <v>55</v>
      </c>
      <c r="BF6" s="36" t="n">
        <v>56</v>
      </c>
      <c r="BG6" s="36" t="n">
        <v>57</v>
      </c>
      <c r="BH6" s="36" t="n">
        <v>58</v>
      </c>
      <c r="BI6" s="36" t="n">
        <v>59</v>
      </c>
      <c r="BJ6" s="36" t="n">
        <v>60</v>
      </c>
      <c r="BK6" s="36" t="n">
        <v>61</v>
      </c>
      <c r="BL6" s="36" t="n">
        <v>62</v>
      </c>
      <c r="BM6" s="36" t="n">
        <v>63</v>
      </c>
      <c r="BN6" s="36" t="n">
        <v>64</v>
      </c>
      <c r="BO6" s="36" t="n">
        <v>65</v>
      </c>
    </row>
    <row r="7" customFormat="false" ht="15" hidden="false" customHeight="false" outlineLevel="0" collapsed="false">
      <c r="B7" s="2" t="s">
        <v>375</v>
      </c>
      <c r="C7" s="25" t="n">
        <f aca="false">SUMPRODUCT((Pers_Ab&lt;=C$4)*Pers_Anzahl*Pers_Brutto*(1+Pers_Mini*Mini_Abg+(1-Pers_Mini)*AG_Anteil))*(1+Steig)^MAX(0,C$5-1)</f>
        <v>0</v>
      </c>
      <c r="D7" s="25" t="n">
        <f aca="false">SUMPRODUCT((Pers_Ab&lt;=D$4)*Pers_Anzahl*Pers_Brutto*(1+Pers_Mini*Mini_Abg+(1-Pers_Mini)*AG_Anteil))*(1+Steig)^MAX(0,D$5-1)</f>
        <v>0</v>
      </c>
      <c r="E7" s="25" t="n">
        <f aca="false">SUMPRODUCT((Pers_Ab&lt;=E$4)*Pers_Anzahl*Pers_Brutto*(1+Pers_Mini*Mini_Abg+(1-Pers_Mini)*AG_Anteil))*(1+Steig)^MAX(0,E$5-1)</f>
        <v>4245.5</v>
      </c>
      <c r="F7" s="25" t="n">
        <f aca="false">SUMPRODUCT((Pers_Ab&lt;=F$4)*Pers_Anzahl*Pers_Brutto*(1+Pers_Mini*Mini_Abg+(1-Pers_Mini)*AG_Anteil))*(1+Steig)^MAX(0,F$5-1)</f>
        <v>8612.3</v>
      </c>
      <c r="G7" s="25" t="n">
        <f aca="false">SUMPRODUCT((Pers_Ab&lt;=G$4)*Pers_Anzahl*Pers_Brutto*(1+Pers_Mini*Mini_Abg+(1-Pers_Mini)*AG_Anteil))*(1+Steig)^MAX(0,G$5-1)</f>
        <v>15890.3</v>
      </c>
      <c r="H7" s="25" t="n">
        <f aca="false">SUMPRODUCT((Pers_Ab&lt;=H$4)*Pers_Anzahl*Pers_Brutto*(1+Pers_Mini*Mini_Abg+(1-Pers_Mini)*AG_Anteil))*(1+Steig)^MAX(0,H$5-1)</f>
        <v>28533.024</v>
      </c>
      <c r="I7" s="25" t="n">
        <f aca="false">SUMPRODUCT((Pers_Ab&lt;=I$4)*Pers_Anzahl*Pers_Brutto*(1+Pers_Mini*Mini_Abg+(1-Pers_Mini)*AG_Anteil))*(1+Steig)^MAX(0,I$5-1)</f>
        <v>28533.024</v>
      </c>
      <c r="J7" s="25" t="n">
        <f aca="false">SUMPRODUCT((Pers_Ab&lt;=J$4)*Pers_Anzahl*Pers_Brutto*(1+Pers_Mini*Mini_Abg+(1-Pers_Mini)*AG_Anteil))*(1+Steig)^MAX(0,J$5-1)</f>
        <v>28533.024</v>
      </c>
      <c r="K7" s="25" t="n">
        <f aca="false">SUMPRODUCT((Pers_Ab&lt;=K$4)*Pers_Anzahl*Pers_Brutto*(1+Pers_Mini*Mini_Abg+(1-Pers_Mini)*AG_Anteil))*(1+Steig)^MAX(0,K$5-1)</f>
        <v>28533.024</v>
      </c>
      <c r="L7" s="25" t="n">
        <f aca="false">SUMPRODUCT((Pers_Ab&lt;=L$4)*Pers_Anzahl*Pers_Brutto*(1+Pers_Mini*Mini_Abg+(1-Pers_Mini)*AG_Anteil))*(1+Steig)^MAX(0,L$5-1)</f>
        <v>28533.024</v>
      </c>
      <c r="M7" s="25" t="n">
        <f aca="false">SUMPRODUCT((Pers_Ab&lt;=M$4)*Pers_Anzahl*Pers_Brutto*(1+Pers_Mini*Mini_Abg+(1-Pers_Mini)*AG_Anteil))*(1+Steig)^MAX(0,M$5-1)</f>
        <v>28533.024</v>
      </c>
      <c r="N7" s="25" t="n">
        <f aca="false">SUMPRODUCT((Pers_Ab&lt;=N$4)*Pers_Anzahl*Pers_Brutto*(1+Pers_Mini*Mini_Abg+(1-Pers_Mini)*AG_Anteil))*(1+Steig)^MAX(0,N$5-1)</f>
        <v>28533.024</v>
      </c>
      <c r="O7" s="25" t="n">
        <f aca="false">SUMPRODUCT((Pers_Ab&lt;=O$4)*Pers_Anzahl*Pers_Brutto*(1+Pers_Mini*Mini_Abg+(1-Pers_Mini)*AG_Anteil))*(1+Steig)^MAX(0,O$5-1)</f>
        <v>28533.024</v>
      </c>
      <c r="P7" s="25" t="n">
        <f aca="false">SUMPRODUCT((Pers_Ab&lt;=P$4)*Pers_Anzahl*Pers_Brutto*(1+Pers_Mini*Mini_Abg+(1-Pers_Mini)*AG_Anteil))*(1+Steig)^MAX(0,P$5-1)</f>
        <v>28533.024</v>
      </c>
      <c r="Q7" s="25" t="n">
        <f aca="false">SUMPRODUCT((Pers_Ab&lt;=Q$4)*Pers_Anzahl*Pers_Brutto*(1+Pers_Mini*Mini_Abg+(1-Pers_Mini)*AG_Anteil))*(1+Steig)^MAX(0,Q$5-1)</f>
        <v>28533.024</v>
      </c>
      <c r="R7" s="25" t="n">
        <f aca="false">SUMPRODUCT((Pers_Ab&lt;=R$4)*Pers_Anzahl*Pers_Brutto*(1+Pers_Mini*Mini_Abg+(1-Pers_Mini)*AG_Anteil))*(1+Steig)^MAX(0,R$5-1)</f>
        <v>28533.024</v>
      </c>
      <c r="S7" s="25" t="n">
        <f aca="false">SUMPRODUCT((Pers_Ab&lt;=S$4)*Pers_Anzahl*Pers_Brutto*(1+Pers_Mini*Mini_Abg+(1-Pers_Mini)*AG_Anteil))*(1+Steig)^MAX(0,S$5-1)</f>
        <v>28533.024</v>
      </c>
      <c r="T7" s="25" t="n">
        <f aca="false">SUMPRODUCT((Pers_Ab&lt;=T$4)*Pers_Anzahl*Pers_Brutto*(1+Pers_Mini*Mini_Abg+(1-Pers_Mini)*AG_Anteil))*(1+Steig)^MAX(0,T$5-1)</f>
        <v>32976.3246</v>
      </c>
      <c r="U7" s="25" t="n">
        <f aca="false">SUMPRODUCT((Pers_Ab&lt;=U$4)*Pers_Anzahl*Pers_Brutto*(1+Pers_Mini*Mini_Abg+(1-Pers_Mini)*AG_Anteil))*(1+Steig)^MAX(0,U$5-1)</f>
        <v>32976.3246</v>
      </c>
      <c r="V7" s="25" t="n">
        <f aca="false">SUMPRODUCT((Pers_Ab&lt;=V$4)*Pers_Anzahl*Pers_Brutto*(1+Pers_Mini*Mini_Abg+(1-Pers_Mini)*AG_Anteil))*(1+Steig)^MAX(0,V$5-1)</f>
        <v>32976.3246</v>
      </c>
      <c r="W7" s="25" t="n">
        <f aca="false">SUMPRODUCT((Pers_Ab&lt;=W$4)*Pers_Anzahl*Pers_Brutto*(1+Pers_Mini*Mini_Abg+(1-Pers_Mini)*AG_Anteil))*(1+Steig)^MAX(0,W$5-1)</f>
        <v>32976.3246</v>
      </c>
      <c r="X7" s="25" t="n">
        <f aca="false">SUMPRODUCT((Pers_Ab&lt;=X$4)*Pers_Anzahl*Pers_Brutto*(1+Pers_Mini*Mini_Abg+(1-Pers_Mini)*AG_Anteil))*(1+Steig)^MAX(0,X$5-1)</f>
        <v>32976.3246</v>
      </c>
      <c r="Y7" s="25" t="n">
        <f aca="false">SUMPRODUCT((Pers_Ab&lt;=Y$4)*Pers_Anzahl*Pers_Brutto*(1+Pers_Mini*Mini_Abg+(1-Pers_Mini)*AG_Anteil))*(1+Steig)^MAX(0,Y$5-1)</f>
        <v>32976.3246</v>
      </c>
      <c r="Z7" s="25" t="n">
        <f aca="false">SUMPRODUCT((Pers_Ab&lt;=Z$4)*Pers_Anzahl*Pers_Brutto*(1+Pers_Mini*Mini_Abg+(1-Pers_Mini)*AG_Anteil))*(1+Steig)^MAX(0,Z$5-1)</f>
        <v>32976.3246</v>
      </c>
      <c r="AA7" s="25" t="n">
        <f aca="false">SUMPRODUCT((Pers_Ab&lt;=AA$4)*Pers_Anzahl*Pers_Brutto*(1+Pers_Mini*Mini_Abg+(1-Pers_Mini)*AG_Anteil))*(1+Steig)^MAX(0,AA$5-1)</f>
        <v>32976.3246</v>
      </c>
      <c r="AB7" s="25" t="n">
        <f aca="false">SUMPRODUCT((Pers_Ab&lt;=AB$4)*Pers_Anzahl*Pers_Brutto*(1+Pers_Mini*Mini_Abg+(1-Pers_Mini)*AG_Anteil))*(1+Steig)^MAX(0,AB$5-1)</f>
        <v>32976.3246</v>
      </c>
      <c r="AC7" s="25" t="n">
        <f aca="false">SUMPRODUCT((Pers_Ab&lt;=AC$4)*Pers_Anzahl*Pers_Brutto*(1+Pers_Mini*Mini_Abg+(1-Pers_Mini)*AG_Anteil))*(1+Steig)^MAX(0,AC$5-1)</f>
        <v>32976.3246</v>
      </c>
      <c r="AD7" s="25" t="n">
        <f aca="false">SUMPRODUCT((Pers_Ab&lt;=AD$4)*Pers_Anzahl*Pers_Brutto*(1+Pers_Mini*Mini_Abg+(1-Pers_Mini)*AG_Anteil))*(1+Steig)^MAX(0,AD$5-1)</f>
        <v>32976.3246</v>
      </c>
      <c r="AE7" s="25" t="n">
        <f aca="false">SUMPRODUCT((Pers_Ab&lt;=AE$4)*Pers_Anzahl*Pers_Brutto*(1+Pers_Mini*Mini_Abg+(1-Pers_Mini)*AG_Anteil))*(1+Steig)^MAX(0,AE$5-1)</f>
        <v>32976.3246</v>
      </c>
      <c r="AF7" s="25" t="n">
        <f aca="false">SUMPRODUCT((Pers_Ab&lt;=AF$4)*Pers_Anzahl*Pers_Brutto*(1+Pers_Mini*Mini_Abg+(1-Pers_Mini)*AG_Anteil))*(1+Steig)^MAX(0,AF$5-1)</f>
        <v>33800.732715</v>
      </c>
      <c r="AG7" s="25" t="n">
        <f aca="false">SUMPRODUCT((Pers_Ab&lt;=AG$4)*Pers_Anzahl*Pers_Brutto*(1+Pers_Mini*Mini_Abg+(1-Pers_Mini)*AG_Anteil))*(1+Steig)^MAX(0,AG$5-1)</f>
        <v>33800.732715</v>
      </c>
      <c r="AH7" s="25" t="n">
        <f aca="false">SUMPRODUCT((Pers_Ab&lt;=AH$4)*Pers_Anzahl*Pers_Brutto*(1+Pers_Mini*Mini_Abg+(1-Pers_Mini)*AG_Anteil))*(1+Steig)^MAX(0,AH$5-1)</f>
        <v>33800.732715</v>
      </c>
      <c r="AI7" s="25" t="n">
        <f aca="false">SUMPRODUCT((Pers_Ab&lt;=AI$4)*Pers_Anzahl*Pers_Brutto*(1+Pers_Mini*Mini_Abg+(1-Pers_Mini)*AG_Anteil))*(1+Steig)^MAX(0,AI$5-1)</f>
        <v>33800.732715</v>
      </c>
      <c r="AJ7" s="25" t="n">
        <f aca="false">SUMPRODUCT((Pers_Ab&lt;=AJ$4)*Pers_Anzahl*Pers_Brutto*(1+Pers_Mini*Mini_Abg+(1-Pers_Mini)*AG_Anteil))*(1+Steig)^MAX(0,AJ$5-1)</f>
        <v>33800.732715</v>
      </c>
      <c r="AK7" s="25" t="n">
        <f aca="false">SUMPRODUCT((Pers_Ab&lt;=AK$4)*Pers_Anzahl*Pers_Brutto*(1+Pers_Mini*Mini_Abg+(1-Pers_Mini)*AG_Anteil))*(1+Steig)^MAX(0,AK$5-1)</f>
        <v>33800.732715</v>
      </c>
      <c r="AL7" s="25" t="n">
        <f aca="false">SUMPRODUCT((Pers_Ab&lt;=AL$4)*Pers_Anzahl*Pers_Brutto*(1+Pers_Mini*Mini_Abg+(1-Pers_Mini)*AG_Anteil))*(1+Steig)^MAX(0,AL$5-1)</f>
        <v>33800.732715</v>
      </c>
      <c r="AM7" s="25" t="n">
        <f aca="false">SUMPRODUCT((Pers_Ab&lt;=AM$4)*Pers_Anzahl*Pers_Brutto*(1+Pers_Mini*Mini_Abg+(1-Pers_Mini)*AG_Anteil))*(1+Steig)^MAX(0,AM$5-1)</f>
        <v>33800.732715</v>
      </c>
      <c r="AN7" s="25" t="n">
        <f aca="false">SUMPRODUCT((Pers_Ab&lt;=AN$4)*Pers_Anzahl*Pers_Brutto*(1+Pers_Mini*Mini_Abg+(1-Pers_Mini)*AG_Anteil))*(1+Steig)^MAX(0,AN$5-1)</f>
        <v>33800.732715</v>
      </c>
      <c r="AO7" s="25" t="n">
        <f aca="false">SUMPRODUCT((Pers_Ab&lt;=AO$4)*Pers_Anzahl*Pers_Brutto*(1+Pers_Mini*Mini_Abg+(1-Pers_Mini)*AG_Anteil))*(1+Steig)^MAX(0,AO$5-1)</f>
        <v>33800.732715</v>
      </c>
      <c r="AP7" s="25" t="n">
        <f aca="false">SUMPRODUCT((Pers_Ab&lt;=AP$4)*Pers_Anzahl*Pers_Brutto*(1+Pers_Mini*Mini_Abg+(1-Pers_Mini)*AG_Anteil))*(1+Steig)^MAX(0,AP$5-1)</f>
        <v>33800.732715</v>
      </c>
      <c r="AQ7" s="25" t="n">
        <f aca="false">SUMPRODUCT((Pers_Ab&lt;=AQ$4)*Pers_Anzahl*Pers_Brutto*(1+Pers_Mini*Mini_Abg+(1-Pers_Mini)*AG_Anteil))*(1+Steig)^MAX(0,AQ$5-1)</f>
        <v>33800.732715</v>
      </c>
      <c r="AR7" s="25" t="n">
        <f aca="false">SUMPRODUCT((Pers_Ab&lt;=AR$4)*Pers_Anzahl*Pers_Brutto*(1+Pers_Mini*Mini_Abg+(1-Pers_Mini)*AG_Anteil))*(1+Steig)^MAX(0,AR$5-1)</f>
        <v>34645.751032875</v>
      </c>
      <c r="AS7" s="25" t="n">
        <f aca="false">SUMPRODUCT((Pers_Ab&lt;=AS$4)*Pers_Anzahl*Pers_Brutto*(1+Pers_Mini*Mini_Abg+(1-Pers_Mini)*AG_Anteil))*(1+Steig)^MAX(0,AS$5-1)</f>
        <v>34645.751032875</v>
      </c>
      <c r="AT7" s="25" t="n">
        <f aca="false">SUMPRODUCT((Pers_Ab&lt;=AT$4)*Pers_Anzahl*Pers_Brutto*(1+Pers_Mini*Mini_Abg+(1-Pers_Mini)*AG_Anteil))*(1+Steig)^MAX(0,AT$5-1)</f>
        <v>34645.751032875</v>
      </c>
      <c r="AU7" s="25" t="n">
        <f aca="false">SUMPRODUCT((Pers_Ab&lt;=AU$4)*Pers_Anzahl*Pers_Brutto*(1+Pers_Mini*Mini_Abg+(1-Pers_Mini)*AG_Anteil))*(1+Steig)^MAX(0,AU$5-1)</f>
        <v>34645.751032875</v>
      </c>
      <c r="AV7" s="25" t="n">
        <f aca="false">SUMPRODUCT((Pers_Ab&lt;=AV$4)*Pers_Anzahl*Pers_Brutto*(1+Pers_Mini*Mini_Abg+(1-Pers_Mini)*AG_Anteil))*(1+Steig)^MAX(0,AV$5-1)</f>
        <v>34645.751032875</v>
      </c>
      <c r="AW7" s="25" t="n">
        <f aca="false">SUMPRODUCT((Pers_Ab&lt;=AW$4)*Pers_Anzahl*Pers_Brutto*(1+Pers_Mini*Mini_Abg+(1-Pers_Mini)*AG_Anteil))*(1+Steig)^MAX(0,AW$5-1)</f>
        <v>34645.751032875</v>
      </c>
      <c r="AX7" s="25" t="n">
        <f aca="false">SUMPRODUCT((Pers_Ab&lt;=AX$4)*Pers_Anzahl*Pers_Brutto*(1+Pers_Mini*Mini_Abg+(1-Pers_Mini)*AG_Anteil))*(1+Steig)^MAX(0,AX$5-1)</f>
        <v>34645.751032875</v>
      </c>
      <c r="AY7" s="25" t="n">
        <f aca="false">SUMPRODUCT((Pers_Ab&lt;=AY$4)*Pers_Anzahl*Pers_Brutto*(1+Pers_Mini*Mini_Abg+(1-Pers_Mini)*AG_Anteil))*(1+Steig)^MAX(0,AY$5-1)</f>
        <v>34645.751032875</v>
      </c>
      <c r="AZ7" s="25" t="n">
        <f aca="false">SUMPRODUCT((Pers_Ab&lt;=AZ$4)*Pers_Anzahl*Pers_Brutto*(1+Pers_Mini*Mini_Abg+(1-Pers_Mini)*AG_Anteil))*(1+Steig)^MAX(0,AZ$5-1)</f>
        <v>34645.751032875</v>
      </c>
      <c r="BA7" s="25" t="n">
        <f aca="false">SUMPRODUCT((Pers_Ab&lt;=BA$4)*Pers_Anzahl*Pers_Brutto*(1+Pers_Mini*Mini_Abg+(1-Pers_Mini)*AG_Anteil))*(1+Steig)^MAX(0,BA$5-1)</f>
        <v>34645.751032875</v>
      </c>
      <c r="BB7" s="25" t="n">
        <f aca="false">SUMPRODUCT((Pers_Ab&lt;=BB$4)*Pers_Anzahl*Pers_Brutto*(1+Pers_Mini*Mini_Abg+(1-Pers_Mini)*AG_Anteil))*(1+Steig)^MAX(0,BB$5-1)</f>
        <v>34645.751032875</v>
      </c>
      <c r="BC7" s="25" t="n">
        <f aca="false">SUMPRODUCT((Pers_Ab&lt;=BC$4)*Pers_Anzahl*Pers_Brutto*(1+Pers_Mini*Mini_Abg+(1-Pers_Mini)*AG_Anteil))*(1+Steig)^MAX(0,BC$5-1)</f>
        <v>34645.751032875</v>
      </c>
      <c r="BD7" s="25" t="n">
        <f aca="false">SUMPRODUCT((Pers_Ab&lt;=BD$4)*Pers_Anzahl*Pers_Brutto*(1+Pers_Mini*Mini_Abg+(1-Pers_Mini)*AG_Anteil))*(1+Steig)^MAX(0,BD$5-1)</f>
        <v>35511.8948086969</v>
      </c>
      <c r="BE7" s="25" t="n">
        <f aca="false">SUMPRODUCT((Pers_Ab&lt;=BE$4)*Pers_Anzahl*Pers_Brutto*(1+Pers_Mini*Mini_Abg+(1-Pers_Mini)*AG_Anteil))*(1+Steig)^MAX(0,BE$5-1)</f>
        <v>35511.8948086969</v>
      </c>
      <c r="BF7" s="25" t="n">
        <f aca="false">SUMPRODUCT((Pers_Ab&lt;=BF$4)*Pers_Anzahl*Pers_Brutto*(1+Pers_Mini*Mini_Abg+(1-Pers_Mini)*AG_Anteil))*(1+Steig)^MAX(0,BF$5-1)</f>
        <v>35511.8948086969</v>
      </c>
      <c r="BG7" s="25" t="n">
        <f aca="false">SUMPRODUCT((Pers_Ab&lt;=BG$4)*Pers_Anzahl*Pers_Brutto*(1+Pers_Mini*Mini_Abg+(1-Pers_Mini)*AG_Anteil))*(1+Steig)^MAX(0,BG$5-1)</f>
        <v>35511.8948086969</v>
      </c>
      <c r="BH7" s="25" t="n">
        <f aca="false">SUMPRODUCT((Pers_Ab&lt;=BH$4)*Pers_Anzahl*Pers_Brutto*(1+Pers_Mini*Mini_Abg+(1-Pers_Mini)*AG_Anteil))*(1+Steig)^MAX(0,BH$5-1)</f>
        <v>35511.8948086969</v>
      </c>
      <c r="BI7" s="25" t="n">
        <f aca="false">SUMPRODUCT((Pers_Ab&lt;=BI$4)*Pers_Anzahl*Pers_Brutto*(1+Pers_Mini*Mini_Abg+(1-Pers_Mini)*AG_Anteil))*(1+Steig)^MAX(0,BI$5-1)</f>
        <v>35511.8948086969</v>
      </c>
      <c r="BJ7" s="25" t="n">
        <f aca="false">SUMPRODUCT((Pers_Ab&lt;=BJ$4)*Pers_Anzahl*Pers_Brutto*(1+Pers_Mini*Mini_Abg+(1-Pers_Mini)*AG_Anteil))*(1+Steig)^MAX(0,BJ$5-1)</f>
        <v>35511.8948086969</v>
      </c>
      <c r="BK7" s="25" t="n">
        <f aca="false">SUMPRODUCT((Pers_Ab&lt;=BK$4)*Pers_Anzahl*Pers_Brutto*(1+Pers_Mini*Mini_Abg+(1-Pers_Mini)*AG_Anteil))*(1+Steig)^MAX(0,BK$5-1)</f>
        <v>35511.8948086969</v>
      </c>
      <c r="BL7" s="25" t="n">
        <f aca="false">SUMPRODUCT((Pers_Ab&lt;=BL$4)*Pers_Anzahl*Pers_Brutto*(1+Pers_Mini*Mini_Abg+(1-Pers_Mini)*AG_Anteil))*(1+Steig)^MAX(0,BL$5-1)</f>
        <v>35511.8948086969</v>
      </c>
      <c r="BM7" s="25" t="n">
        <f aca="false">SUMPRODUCT((Pers_Ab&lt;=BM$4)*Pers_Anzahl*Pers_Brutto*(1+Pers_Mini*Mini_Abg+(1-Pers_Mini)*AG_Anteil))*(1+Steig)^MAX(0,BM$5-1)</f>
        <v>35511.8948086969</v>
      </c>
      <c r="BN7" s="25" t="n">
        <f aca="false">SUMPRODUCT((Pers_Ab&lt;=BN$4)*Pers_Anzahl*Pers_Brutto*(1+Pers_Mini*Mini_Abg+(1-Pers_Mini)*AG_Anteil))*(1+Steig)^MAX(0,BN$5-1)</f>
        <v>35511.8948086969</v>
      </c>
      <c r="BO7" s="25" t="n">
        <f aca="false">SUMPRODUCT((Pers_Ab&lt;=BO$4)*Pers_Anzahl*Pers_Brutto*(1+Pers_Mini*Mini_Abg+(1-Pers_Mini)*AG_Anteil))*(1+Steig)^MAX(0,BO$5-1)</f>
        <v>35511.8948086969</v>
      </c>
      <c r="BQ7" s="19" t="n">
        <v>0</v>
      </c>
    </row>
    <row r="8" customFormat="false" ht="15" hidden="false" customHeight="false" outlineLevel="0" collapsed="false">
      <c r="B8" s="2" t="s">
        <v>65</v>
      </c>
      <c r="C8" s="25" t="n">
        <f aca="false">IF(AND(C$4&lt;1,C$4+Vorlauf&lt;Mietfrei),0,Flaeche*Miete_kalt*(1+Index_pa)^MAX(0,C$5-1))</f>
        <v>0</v>
      </c>
      <c r="D8" s="25" t="n">
        <f aca="false">IF(AND(D$4&lt;1,D$4+Vorlauf&lt;Mietfrei),0,Flaeche*Miete_kalt*(1+Index_pa)^MAX(0,D$5-1))</f>
        <v>0</v>
      </c>
      <c r="E8" s="25" t="n">
        <f aca="false">IF(AND(E$4&lt;1,E$4+Vorlauf&lt;Mietfrei),0,Flaeche*Miete_kalt*(1+Index_pa)^MAX(0,E$5-1))</f>
        <v>0</v>
      </c>
      <c r="F8" s="25" t="n">
        <f aca="false">IF(AND(F$4&lt;1,F$4+Vorlauf&lt;Mietfrei),0,Flaeche*Miete_kalt*(1+Index_pa)^MAX(0,F$5-1))</f>
        <v>16790.9</v>
      </c>
      <c r="G8" s="25" t="n">
        <f aca="false">IF(AND(G$4&lt;1,G$4+Vorlauf&lt;Mietfrei),0,Flaeche*Miete_kalt*(1+Index_pa)^MAX(0,G$5-1))</f>
        <v>16790.9</v>
      </c>
      <c r="H8" s="25" t="n">
        <f aca="false">IF(AND(H$4&lt;1,H$4+Vorlauf&lt;Mietfrei),0,Flaeche*Miete_kalt*(1+Index_pa)^MAX(0,H$5-1))</f>
        <v>16790.9</v>
      </c>
      <c r="I8" s="25" t="n">
        <f aca="false">IF(AND(I$4&lt;1,I$4+Vorlauf&lt;Mietfrei),0,Flaeche*Miete_kalt*(1+Index_pa)^MAX(0,I$5-1))</f>
        <v>16790.9</v>
      </c>
      <c r="J8" s="25" t="n">
        <f aca="false">IF(AND(J$4&lt;1,J$4+Vorlauf&lt;Mietfrei),0,Flaeche*Miete_kalt*(1+Index_pa)^MAX(0,J$5-1))</f>
        <v>16790.9</v>
      </c>
      <c r="K8" s="25" t="n">
        <f aca="false">IF(AND(K$4&lt;1,K$4+Vorlauf&lt;Mietfrei),0,Flaeche*Miete_kalt*(1+Index_pa)^MAX(0,K$5-1))</f>
        <v>16790.9</v>
      </c>
      <c r="L8" s="25" t="n">
        <f aca="false">IF(AND(L$4&lt;1,L$4+Vorlauf&lt;Mietfrei),0,Flaeche*Miete_kalt*(1+Index_pa)^MAX(0,L$5-1))</f>
        <v>16790.9</v>
      </c>
      <c r="M8" s="25" t="n">
        <f aca="false">IF(AND(M$4&lt;1,M$4+Vorlauf&lt;Mietfrei),0,Flaeche*Miete_kalt*(1+Index_pa)^MAX(0,M$5-1))</f>
        <v>16790.9</v>
      </c>
      <c r="N8" s="25" t="n">
        <f aca="false">IF(AND(N$4&lt;1,N$4+Vorlauf&lt;Mietfrei),0,Flaeche*Miete_kalt*(1+Index_pa)^MAX(0,N$5-1))</f>
        <v>16790.9</v>
      </c>
      <c r="O8" s="25" t="n">
        <f aca="false">IF(AND(O$4&lt;1,O$4+Vorlauf&lt;Mietfrei),0,Flaeche*Miete_kalt*(1+Index_pa)^MAX(0,O$5-1))</f>
        <v>16790.9</v>
      </c>
      <c r="P8" s="25" t="n">
        <f aca="false">IF(AND(P$4&lt;1,P$4+Vorlauf&lt;Mietfrei),0,Flaeche*Miete_kalt*(1+Index_pa)^MAX(0,P$5-1))</f>
        <v>16790.9</v>
      </c>
      <c r="Q8" s="25" t="n">
        <f aca="false">IF(AND(Q$4&lt;1,Q$4+Vorlauf&lt;Mietfrei),0,Flaeche*Miete_kalt*(1+Index_pa)^MAX(0,Q$5-1))</f>
        <v>16790.9</v>
      </c>
      <c r="R8" s="25" t="n">
        <f aca="false">IF(AND(R$4&lt;1,R$4+Vorlauf&lt;Mietfrei),0,Flaeche*Miete_kalt*(1+Index_pa)^MAX(0,R$5-1))</f>
        <v>16790.9</v>
      </c>
      <c r="S8" s="25" t="n">
        <f aca="false">IF(AND(S$4&lt;1,S$4+Vorlauf&lt;Mietfrei),0,Flaeche*Miete_kalt*(1+Index_pa)^MAX(0,S$5-1))</f>
        <v>16790.9</v>
      </c>
      <c r="T8" s="25" t="n">
        <f aca="false">IF(AND(T$4&lt;1,T$4+Vorlauf&lt;Mietfrei),0,Flaeche*Miete_kalt*(1+Index_pa)^MAX(0,T$5-1))</f>
        <v>17126.718</v>
      </c>
      <c r="U8" s="25" t="n">
        <f aca="false">IF(AND(U$4&lt;1,U$4+Vorlauf&lt;Mietfrei),0,Flaeche*Miete_kalt*(1+Index_pa)^MAX(0,U$5-1))</f>
        <v>17126.718</v>
      </c>
      <c r="V8" s="25" t="n">
        <f aca="false">IF(AND(V$4&lt;1,V$4+Vorlauf&lt;Mietfrei),0,Flaeche*Miete_kalt*(1+Index_pa)^MAX(0,V$5-1))</f>
        <v>17126.718</v>
      </c>
      <c r="W8" s="25" t="n">
        <f aca="false">IF(AND(W$4&lt;1,W$4+Vorlauf&lt;Mietfrei),0,Flaeche*Miete_kalt*(1+Index_pa)^MAX(0,W$5-1))</f>
        <v>17126.718</v>
      </c>
      <c r="X8" s="25" t="n">
        <f aca="false">IF(AND(X$4&lt;1,X$4+Vorlauf&lt;Mietfrei),0,Flaeche*Miete_kalt*(1+Index_pa)^MAX(0,X$5-1))</f>
        <v>17126.718</v>
      </c>
      <c r="Y8" s="25" t="n">
        <f aca="false">IF(AND(Y$4&lt;1,Y$4+Vorlauf&lt;Mietfrei),0,Flaeche*Miete_kalt*(1+Index_pa)^MAX(0,Y$5-1))</f>
        <v>17126.718</v>
      </c>
      <c r="Z8" s="25" t="n">
        <f aca="false">IF(AND(Z$4&lt;1,Z$4+Vorlauf&lt;Mietfrei),0,Flaeche*Miete_kalt*(1+Index_pa)^MAX(0,Z$5-1))</f>
        <v>17126.718</v>
      </c>
      <c r="AA8" s="25" t="n">
        <f aca="false">IF(AND(AA$4&lt;1,AA$4+Vorlauf&lt;Mietfrei),0,Flaeche*Miete_kalt*(1+Index_pa)^MAX(0,AA$5-1))</f>
        <v>17126.718</v>
      </c>
      <c r="AB8" s="25" t="n">
        <f aca="false">IF(AND(AB$4&lt;1,AB$4+Vorlauf&lt;Mietfrei),0,Flaeche*Miete_kalt*(1+Index_pa)^MAX(0,AB$5-1))</f>
        <v>17126.718</v>
      </c>
      <c r="AC8" s="25" t="n">
        <f aca="false">IF(AND(AC$4&lt;1,AC$4+Vorlauf&lt;Mietfrei),0,Flaeche*Miete_kalt*(1+Index_pa)^MAX(0,AC$5-1))</f>
        <v>17126.718</v>
      </c>
      <c r="AD8" s="25" t="n">
        <f aca="false">IF(AND(AD$4&lt;1,AD$4+Vorlauf&lt;Mietfrei),0,Flaeche*Miete_kalt*(1+Index_pa)^MAX(0,AD$5-1))</f>
        <v>17126.718</v>
      </c>
      <c r="AE8" s="25" t="n">
        <f aca="false">IF(AND(AE$4&lt;1,AE$4+Vorlauf&lt;Mietfrei),0,Flaeche*Miete_kalt*(1+Index_pa)^MAX(0,AE$5-1))</f>
        <v>17126.718</v>
      </c>
      <c r="AF8" s="25" t="n">
        <f aca="false">IF(AND(AF$4&lt;1,AF$4+Vorlauf&lt;Mietfrei),0,Flaeche*Miete_kalt*(1+Index_pa)^MAX(0,AF$5-1))</f>
        <v>17469.25236</v>
      </c>
      <c r="AG8" s="25" t="n">
        <f aca="false">IF(AND(AG$4&lt;1,AG$4+Vorlauf&lt;Mietfrei),0,Flaeche*Miete_kalt*(1+Index_pa)^MAX(0,AG$5-1))</f>
        <v>17469.25236</v>
      </c>
      <c r="AH8" s="25" t="n">
        <f aca="false">IF(AND(AH$4&lt;1,AH$4+Vorlauf&lt;Mietfrei),0,Flaeche*Miete_kalt*(1+Index_pa)^MAX(0,AH$5-1))</f>
        <v>17469.25236</v>
      </c>
      <c r="AI8" s="25" t="n">
        <f aca="false">IF(AND(AI$4&lt;1,AI$4+Vorlauf&lt;Mietfrei),0,Flaeche*Miete_kalt*(1+Index_pa)^MAX(0,AI$5-1))</f>
        <v>17469.25236</v>
      </c>
      <c r="AJ8" s="25" t="n">
        <f aca="false">IF(AND(AJ$4&lt;1,AJ$4+Vorlauf&lt;Mietfrei),0,Flaeche*Miete_kalt*(1+Index_pa)^MAX(0,AJ$5-1))</f>
        <v>17469.25236</v>
      </c>
      <c r="AK8" s="25" t="n">
        <f aca="false">IF(AND(AK$4&lt;1,AK$4+Vorlauf&lt;Mietfrei),0,Flaeche*Miete_kalt*(1+Index_pa)^MAX(0,AK$5-1))</f>
        <v>17469.25236</v>
      </c>
      <c r="AL8" s="25" t="n">
        <f aca="false">IF(AND(AL$4&lt;1,AL$4+Vorlauf&lt;Mietfrei),0,Flaeche*Miete_kalt*(1+Index_pa)^MAX(0,AL$5-1))</f>
        <v>17469.25236</v>
      </c>
      <c r="AM8" s="25" t="n">
        <f aca="false">IF(AND(AM$4&lt;1,AM$4+Vorlauf&lt;Mietfrei),0,Flaeche*Miete_kalt*(1+Index_pa)^MAX(0,AM$5-1))</f>
        <v>17469.25236</v>
      </c>
      <c r="AN8" s="25" t="n">
        <f aca="false">IF(AND(AN$4&lt;1,AN$4+Vorlauf&lt;Mietfrei),0,Flaeche*Miete_kalt*(1+Index_pa)^MAX(0,AN$5-1))</f>
        <v>17469.25236</v>
      </c>
      <c r="AO8" s="25" t="n">
        <f aca="false">IF(AND(AO$4&lt;1,AO$4+Vorlauf&lt;Mietfrei),0,Flaeche*Miete_kalt*(1+Index_pa)^MAX(0,AO$5-1))</f>
        <v>17469.25236</v>
      </c>
      <c r="AP8" s="25" t="n">
        <f aca="false">IF(AND(AP$4&lt;1,AP$4+Vorlauf&lt;Mietfrei),0,Flaeche*Miete_kalt*(1+Index_pa)^MAX(0,AP$5-1))</f>
        <v>17469.25236</v>
      </c>
      <c r="AQ8" s="25" t="n">
        <f aca="false">IF(AND(AQ$4&lt;1,AQ$4+Vorlauf&lt;Mietfrei),0,Flaeche*Miete_kalt*(1+Index_pa)^MAX(0,AQ$5-1))</f>
        <v>17469.25236</v>
      </c>
      <c r="AR8" s="25" t="n">
        <f aca="false">IF(AND(AR$4&lt;1,AR$4+Vorlauf&lt;Mietfrei),0,Flaeche*Miete_kalt*(1+Index_pa)^MAX(0,AR$5-1))</f>
        <v>17818.6374072</v>
      </c>
      <c r="AS8" s="25" t="n">
        <f aca="false">IF(AND(AS$4&lt;1,AS$4+Vorlauf&lt;Mietfrei),0,Flaeche*Miete_kalt*(1+Index_pa)^MAX(0,AS$5-1))</f>
        <v>17818.6374072</v>
      </c>
      <c r="AT8" s="25" t="n">
        <f aca="false">IF(AND(AT$4&lt;1,AT$4+Vorlauf&lt;Mietfrei),0,Flaeche*Miete_kalt*(1+Index_pa)^MAX(0,AT$5-1))</f>
        <v>17818.6374072</v>
      </c>
      <c r="AU8" s="25" t="n">
        <f aca="false">IF(AND(AU$4&lt;1,AU$4+Vorlauf&lt;Mietfrei),0,Flaeche*Miete_kalt*(1+Index_pa)^MAX(0,AU$5-1))</f>
        <v>17818.6374072</v>
      </c>
      <c r="AV8" s="25" t="n">
        <f aca="false">IF(AND(AV$4&lt;1,AV$4+Vorlauf&lt;Mietfrei),0,Flaeche*Miete_kalt*(1+Index_pa)^MAX(0,AV$5-1))</f>
        <v>17818.6374072</v>
      </c>
      <c r="AW8" s="25" t="n">
        <f aca="false">IF(AND(AW$4&lt;1,AW$4+Vorlauf&lt;Mietfrei),0,Flaeche*Miete_kalt*(1+Index_pa)^MAX(0,AW$5-1))</f>
        <v>17818.6374072</v>
      </c>
      <c r="AX8" s="25" t="n">
        <f aca="false">IF(AND(AX$4&lt;1,AX$4+Vorlauf&lt;Mietfrei),0,Flaeche*Miete_kalt*(1+Index_pa)^MAX(0,AX$5-1))</f>
        <v>17818.6374072</v>
      </c>
      <c r="AY8" s="25" t="n">
        <f aca="false">IF(AND(AY$4&lt;1,AY$4+Vorlauf&lt;Mietfrei),0,Flaeche*Miete_kalt*(1+Index_pa)^MAX(0,AY$5-1))</f>
        <v>17818.6374072</v>
      </c>
      <c r="AZ8" s="25" t="n">
        <f aca="false">IF(AND(AZ$4&lt;1,AZ$4+Vorlauf&lt;Mietfrei),0,Flaeche*Miete_kalt*(1+Index_pa)^MAX(0,AZ$5-1))</f>
        <v>17818.6374072</v>
      </c>
      <c r="BA8" s="25" t="n">
        <f aca="false">IF(AND(BA$4&lt;1,BA$4+Vorlauf&lt;Mietfrei),0,Flaeche*Miete_kalt*(1+Index_pa)^MAX(0,BA$5-1))</f>
        <v>17818.6374072</v>
      </c>
      <c r="BB8" s="25" t="n">
        <f aca="false">IF(AND(BB$4&lt;1,BB$4+Vorlauf&lt;Mietfrei),0,Flaeche*Miete_kalt*(1+Index_pa)^MAX(0,BB$5-1))</f>
        <v>17818.6374072</v>
      </c>
      <c r="BC8" s="25" t="n">
        <f aca="false">IF(AND(BC$4&lt;1,BC$4+Vorlauf&lt;Mietfrei),0,Flaeche*Miete_kalt*(1+Index_pa)^MAX(0,BC$5-1))</f>
        <v>17818.6374072</v>
      </c>
      <c r="BD8" s="25" t="n">
        <f aca="false">IF(AND(BD$4&lt;1,BD$4+Vorlauf&lt;Mietfrei),0,Flaeche*Miete_kalt*(1+Index_pa)^MAX(0,BD$5-1))</f>
        <v>18175.010155344</v>
      </c>
      <c r="BE8" s="25" t="n">
        <f aca="false">IF(AND(BE$4&lt;1,BE$4+Vorlauf&lt;Mietfrei),0,Flaeche*Miete_kalt*(1+Index_pa)^MAX(0,BE$5-1))</f>
        <v>18175.010155344</v>
      </c>
      <c r="BF8" s="25" t="n">
        <f aca="false">IF(AND(BF$4&lt;1,BF$4+Vorlauf&lt;Mietfrei),0,Flaeche*Miete_kalt*(1+Index_pa)^MAX(0,BF$5-1))</f>
        <v>18175.010155344</v>
      </c>
      <c r="BG8" s="25" t="n">
        <f aca="false">IF(AND(BG$4&lt;1,BG$4+Vorlauf&lt;Mietfrei),0,Flaeche*Miete_kalt*(1+Index_pa)^MAX(0,BG$5-1))</f>
        <v>18175.010155344</v>
      </c>
      <c r="BH8" s="25" t="n">
        <f aca="false">IF(AND(BH$4&lt;1,BH$4+Vorlauf&lt;Mietfrei),0,Flaeche*Miete_kalt*(1+Index_pa)^MAX(0,BH$5-1))</f>
        <v>18175.010155344</v>
      </c>
      <c r="BI8" s="25" t="n">
        <f aca="false">IF(AND(BI$4&lt;1,BI$4+Vorlauf&lt;Mietfrei),0,Flaeche*Miete_kalt*(1+Index_pa)^MAX(0,BI$5-1))</f>
        <v>18175.010155344</v>
      </c>
      <c r="BJ8" s="25" t="n">
        <f aca="false">IF(AND(BJ$4&lt;1,BJ$4+Vorlauf&lt;Mietfrei),0,Flaeche*Miete_kalt*(1+Index_pa)^MAX(0,BJ$5-1))</f>
        <v>18175.010155344</v>
      </c>
      <c r="BK8" s="25" t="n">
        <f aca="false">IF(AND(BK$4&lt;1,BK$4+Vorlauf&lt;Mietfrei),0,Flaeche*Miete_kalt*(1+Index_pa)^MAX(0,BK$5-1))</f>
        <v>18175.010155344</v>
      </c>
      <c r="BL8" s="25" t="n">
        <f aca="false">IF(AND(BL$4&lt;1,BL$4+Vorlauf&lt;Mietfrei),0,Flaeche*Miete_kalt*(1+Index_pa)^MAX(0,BL$5-1))</f>
        <v>18175.010155344</v>
      </c>
      <c r="BM8" s="25" t="n">
        <f aca="false">IF(AND(BM$4&lt;1,BM$4+Vorlauf&lt;Mietfrei),0,Flaeche*Miete_kalt*(1+Index_pa)^MAX(0,BM$5-1))</f>
        <v>18175.010155344</v>
      </c>
      <c r="BN8" s="25" t="n">
        <f aca="false">IF(AND(BN$4&lt;1,BN$4+Vorlauf&lt;Mietfrei),0,Flaeche*Miete_kalt*(1+Index_pa)^MAX(0,BN$5-1))</f>
        <v>18175.010155344</v>
      </c>
      <c r="BO8" s="25" t="n">
        <f aca="false">IF(AND(BO$4&lt;1,BO$4+Vorlauf&lt;Mietfrei),0,Flaeche*Miete_kalt*(1+Index_pa)^MAX(0,BO$5-1))</f>
        <v>18175.010155344</v>
      </c>
      <c r="BQ8" s="19" t="n">
        <v>1</v>
      </c>
    </row>
    <row r="9" customFormat="false" ht="15" hidden="false" customHeight="false" outlineLevel="0" collapsed="false">
      <c r="B9" s="2" t="s">
        <v>376</v>
      </c>
      <c r="C9" s="25" t="n">
        <f aca="false">IF(AND(C$4&lt;1,C$4+Vorlauf&lt;Mietfrei),0,Flaeche*BK)</f>
        <v>0</v>
      </c>
      <c r="D9" s="25" t="n">
        <f aca="false">IF(AND(D$4&lt;1,D$4+Vorlauf&lt;Mietfrei),0,Flaeche*BK)</f>
        <v>0</v>
      </c>
      <c r="E9" s="25" t="n">
        <f aca="false">IF(AND(E$4&lt;1,E$4+Vorlauf&lt;Mietfrei),0,Flaeche*BK)</f>
        <v>0</v>
      </c>
      <c r="F9" s="25" t="n">
        <f aca="false">IF(AND(F$4&lt;1,F$4+Vorlauf&lt;Mietfrei),0,Flaeche*BK)</f>
        <v>3950.8</v>
      </c>
      <c r="G9" s="25" t="n">
        <f aca="false">IF(AND(G$4&lt;1,G$4+Vorlauf&lt;Mietfrei),0,Flaeche*BK)</f>
        <v>3950.8</v>
      </c>
      <c r="H9" s="25" t="n">
        <f aca="false">IF(AND(H$4&lt;1,H$4+Vorlauf&lt;Mietfrei),0,Flaeche*BK)</f>
        <v>3950.8</v>
      </c>
      <c r="I9" s="25" t="n">
        <f aca="false">IF(AND(I$4&lt;1,I$4+Vorlauf&lt;Mietfrei),0,Flaeche*BK)</f>
        <v>3950.8</v>
      </c>
      <c r="J9" s="25" t="n">
        <f aca="false">IF(AND(J$4&lt;1,J$4+Vorlauf&lt;Mietfrei),0,Flaeche*BK)</f>
        <v>3950.8</v>
      </c>
      <c r="K9" s="25" t="n">
        <f aca="false">IF(AND(K$4&lt;1,K$4+Vorlauf&lt;Mietfrei),0,Flaeche*BK)</f>
        <v>3950.8</v>
      </c>
      <c r="L9" s="25" t="n">
        <f aca="false">IF(AND(L$4&lt;1,L$4+Vorlauf&lt;Mietfrei),0,Flaeche*BK)</f>
        <v>3950.8</v>
      </c>
      <c r="M9" s="25" t="n">
        <f aca="false">IF(AND(M$4&lt;1,M$4+Vorlauf&lt;Mietfrei),0,Flaeche*BK)</f>
        <v>3950.8</v>
      </c>
      <c r="N9" s="25" t="n">
        <f aca="false">IF(AND(N$4&lt;1,N$4+Vorlauf&lt;Mietfrei),0,Flaeche*BK)</f>
        <v>3950.8</v>
      </c>
      <c r="O9" s="25" t="n">
        <f aca="false">IF(AND(O$4&lt;1,O$4+Vorlauf&lt;Mietfrei),0,Flaeche*BK)</f>
        <v>3950.8</v>
      </c>
      <c r="P9" s="25" t="n">
        <f aca="false">IF(AND(P$4&lt;1,P$4+Vorlauf&lt;Mietfrei),0,Flaeche*BK)</f>
        <v>3950.8</v>
      </c>
      <c r="Q9" s="25" t="n">
        <f aca="false">IF(AND(Q$4&lt;1,Q$4+Vorlauf&lt;Mietfrei),0,Flaeche*BK)</f>
        <v>3950.8</v>
      </c>
      <c r="R9" s="25" t="n">
        <f aca="false">IF(AND(R$4&lt;1,R$4+Vorlauf&lt;Mietfrei),0,Flaeche*BK)</f>
        <v>3950.8</v>
      </c>
      <c r="S9" s="25" t="n">
        <f aca="false">IF(AND(S$4&lt;1,S$4+Vorlauf&lt;Mietfrei),0,Flaeche*BK)</f>
        <v>3950.8</v>
      </c>
      <c r="T9" s="25" t="n">
        <f aca="false">IF(AND(T$4&lt;1,T$4+Vorlauf&lt;Mietfrei),0,Flaeche*BK)</f>
        <v>3950.8</v>
      </c>
      <c r="U9" s="25" t="n">
        <f aca="false">IF(AND(U$4&lt;1,U$4+Vorlauf&lt;Mietfrei),0,Flaeche*BK)</f>
        <v>3950.8</v>
      </c>
      <c r="V9" s="25" t="n">
        <f aca="false">IF(AND(V$4&lt;1,V$4+Vorlauf&lt;Mietfrei),0,Flaeche*BK)</f>
        <v>3950.8</v>
      </c>
      <c r="W9" s="25" t="n">
        <f aca="false">IF(AND(W$4&lt;1,W$4+Vorlauf&lt;Mietfrei),0,Flaeche*BK)</f>
        <v>3950.8</v>
      </c>
      <c r="X9" s="25" t="n">
        <f aca="false">IF(AND(X$4&lt;1,X$4+Vorlauf&lt;Mietfrei),0,Flaeche*BK)</f>
        <v>3950.8</v>
      </c>
      <c r="Y9" s="25" t="n">
        <f aca="false">IF(AND(Y$4&lt;1,Y$4+Vorlauf&lt;Mietfrei),0,Flaeche*BK)</f>
        <v>3950.8</v>
      </c>
      <c r="Z9" s="25" t="n">
        <f aca="false">IF(AND(Z$4&lt;1,Z$4+Vorlauf&lt;Mietfrei),0,Flaeche*BK)</f>
        <v>3950.8</v>
      </c>
      <c r="AA9" s="25" t="n">
        <f aca="false">IF(AND(AA$4&lt;1,AA$4+Vorlauf&lt;Mietfrei),0,Flaeche*BK)</f>
        <v>3950.8</v>
      </c>
      <c r="AB9" s="25" t="n">
        <f aca="false">IF(AND(AB$4&lt;1,AB$4+Vorlauf&lt;Mietfrei),0,Flaeche*BK)</f>
        <v>3950.8</v>
      </c>
      <c r="AC9" s="25" t="n">
        <f aca="false">IF(AND(AC$4&lt;1,AC$4+Vorlauf&lt;Mietfrei),0,Flaeche*BK)</f>
        <v>3950.8</v>
      </c>
      <c r="AD9" s="25" t="n">
        <f aca="false">IF(AND(AD$4&lt;1,AD$4+Vorlauf&lt;Mietfrei),0,Flaeche*BK)</f>
        <v>3950.8</v>
      </c>
      <c r="AE9" s="25" t="n">
        <f aca="false">IF(AND(AE$4&lt;1,AE$4+Vorlauf&lt;Mietfrei),0,Flaeche*BK)</f>
        <v>3950.8</v>
      </c>
      <c r="AF9" s="25" t="n">
        <f aca="false">IF(AND(AF$4&lt;1,AF$4+Vorlauf&lt;Mietfrei),0,Flaeche*BK)</f>
        <v>3950.8</v>
      </c>
      <c r="AG9" s="25" t="n">
        <f aca="false">IF(AND(AG$4&lt;1,AG$4+Vorlauf&lt;Mietfrei),0,Flaeche*BK)</f>
        <v>3950.8</v>
      </c>
      <c r="AH9" s="25" t="n">
        <f aca="false">IF(AND(AH$4&lt;1,AH$4+Vorlauf&lt;Mietfrei),0,Flaeche*BK)</f>
        <v>3950.8</v>
      </c>
      <c r="AI9" s="25" t="n">
        <f aca="false">IF(AND(AI$4&lt;1,AI$4+Vorlauf&lt;Mietfrei),0,Flaeche*BK)</f>
        <v>3950.8</v>
      </c>
      <c r="AJ9" s="25" t="n">
        <f aca="false">IF(AND(AJ$4&lt;1,AJ$4+Vorlauf&lt;Mietfrei),0,Flaeche*BK)</f>
        <v>3950.8</v>
      </c>
      <c r="AK9" s="25" t="n">
        <f aca="false">IF(AND(AK$4&lt;1,AK$4+Vorlauf&lt;Mietfrei),0,Flaeche*BK)</f>
        <v>3950.8</v>
      </c>
      <c r="AL9" s="25" t="n">
        <f aca="false">IF(AND(AL$4&lt;1,AL$4+Vorlauf&lt;Mietfrei),0,Flaeche*BK)</f>
        <v>3950.8</v>
      </c>
      <c r="AM9" s="25" t="n">
        <f aca="false">IF(AND(AM$4&lt;1,AM$4+Vorlauf&lt;Mietfrei),0,Flaeche*BK)</f>
        <v>3950.8</v>
      </c>
      <c r="AN9" s="25" t="n">
        <f aca="false">IF(AND(AN$4&lt;1,AN$4+Vorlauf&lt;Mietfrei),0,Flaeche*BK)</f>
        <v>3950.8</v>
      </c>
      <c r="AO9" s="25" t="n">
        <f aca="false">IF(AND(AO$4&lt;1,AO$4+Vorlauf&lt;Mietfrei),0,Flaeche*BK)</f>
        <v>3950.8</v>
      </c>
      <c r="AP9" s="25" t="n">
        <f aca="false">IF(AND(AP$4&lt;1,AP$4+Vorlauf&lt;Mietfrei),0,Flaeche*BK)</f>
        <v>3950.8</v>
      </c>
      <c r="AQ9" s="25" t="n">
        <f aca="false">IF(AND(AQ$4&lt;1,AQ$4+Vorlauf&lt;Mietfrei),0,Flaeche*BK)</f>
        <v>3950.8</v>
      </c>
      <c r="AR9" s="25" t="n">
        <f aca="false">IF(AND(AR$4&lt;1,AR$4+Vorlauf&lt;Mietfrei),0,Flaeche*BK)</f>
        <v>3950.8</v>
      </c>
      <c r="AS9" s="25" t="n">
        <f aca="false">IF(AND(AS$4&lt;1,AS$4+Vorlauf&lt;Mietfrei),0,Flaeche*BK)</f>
        <v>3950.8</v>
      </c>
      <c r="AT9" s="25" t="n">
        <f aca="false">IF(AND(AT$4&lt;1,AT$4+Vorlauf&lt;Mietfrei),0,Flaeche*BK)</f>
        <v>3950.8</v>
      </c>
      <c r="AU9" s="25" t="n">
        <f aca="false">IF(AND(AU$4&lt;1,AU$4+Vorlauf&lt;Mietfrei),0,Flaeche*BK)</f>
        <v>3950.8</v>
      </c>
      <c r="AV9" s="25" t="n">
        <f aca="false">IF(AND(AV$4&lt;1,AV$4+Vorlauf&lt;Mietfrei),0,Flaeche*BK)</f>
        <v>3950.8</v>
      </c>
      <c r="AW9" s="25" t="n">
        <f aca="false">IF(AND(AW$4&lt;1,AW$4+Vorlauf&lt;Mietfrei),0,Flaeche*BK)</f>
        <v>3950.8</v>
      </c>
      <c r="AX9" s="25" t="n">
        <f aca="false">IF(AND(AX$4&lt;1,AX$4+Vorlauf&lt;Mietfrei),0,Flaeche*BK)</f>
        <v>3950.8</v>
      </c>
      <c r="AY9" s="25" t="n">
        <f aca="false">IF(AND(AY$4&lt;1,AY$4+Vorlauf&lt;Mietfrei),0,Flaeche*BK)</f>
        <v>3950.8</v>
      </c>
      <c r="AZ9" s="25" t="n">
        <f aca="false">IF(AND(AZ$4&lt;1,AZ$4+Vorlauf&lt;Mietfrei),0,Flaeche*BK)</f>
        <v>3950.8</v>
      </c>
      <c r="BA9" s="25" t="n">
        <f aca="false">IF(AND(BA$4&lt;1,BA$4+Vorlauf&lt;Mietfrei),0,Flaeche*BK)</f>
        <v>3950.8</v>
      </c>
      <c r="BB9" s="25" t="n">
        <f aca="false">IF(AND(BB$4&lt;1,BB$4+Vorlauf&lt;Mietfrei),0,Flaeche*BK)</f>
        <v>3950.8</v>
      </c>
      <c r="BC9" s="25" t="n">
        <f aca="false">IF(AND(BC$4&lt;1,BC$4+Vorlauf&lt;Mietfrei),0,Flaeche*BK)</f>
        <v>3950.8</v>
      </c>
      <c r="BD9" s="25" t="n">
        <f aca="false">IF(AND(BD$4&lt;1,BD$4+Vorlauf&lt;Mietfrei),0,Flaeche*BK)</f>
        <v>3950.8</v>
      </c>
      <c r="BE9" s="25" t="n">
        <f aca="false">IF(AND(BE$4&lt;1,BE$4+Vorlauf&lt;Mietfrei),0,Flaeche*BK)</f>
        <v>3950.8</v>
      </c>
      <c r="BF9" s="25" t="n">
        <f aca="false">IF(AND(BF$4&lt;1,BF$4+Vorlauf&lt;Mietfrei),0,Flaeche*BK)</f>
        <v>3950.8</v>
      </c>
      <c r="BG9" s="25" t="n">
        <f aca="false">IF(AND(BG$4&lt;1,BG$4+Vorlauf&lt;Mietfrei),0,Flaeche*BK)</f>
        <v>3950.8</v>
      </c>
      <c r="BH9" s="25" t="n">
        <f aca="false">IF(AND(BH$4&lt;1,BH$4+Vorlauf&lt;Mietfrei),0,Flaeche*BK)</f>
        <v>3950.8</v>
      </c>
      <c r="BI9" s="25" t="n">
        <f aca="false">IF(AND(BI$4&lt;1,BI$4+Vorlauf&lt;Mietfrei),0,Flaeche*BK)</f>
        <v>3950.8</v>
      </c>
      <c r="BJ9" s="25" t="n">
        <f aca="false">IF(AND(BJ$4&lt;1,BJ$4+Vorlauf&lt;Mietfrei),0,Flaeche*BK)</f>
        <v>3950.8</v>
      </c>
      <c r="BK9" s="25" t="n">
        <f aca="false">IF(AND(BK$4&lt;1,BK$4+Vorlauf&lt;Mietfrei),0,Flaeche*BK)</f>
        <v>3950.8</v>
      </c>
      <c r="BL9" s="25" t="n">
        <f aca="false">IF(AND(BL$4&lt;1,BL$4+Vorlauf&lt;Mietfrei),0,Flaeche*BK)</f>
        <v>3950.8</v>
      </c>
      <c r="BM9" s="25" t="n">
        <f aca="false">IF(AND(BM$4&lt;1,BM$4+Vorlauf&lt;Mietfrei),0,Flaeche*BK)</f>
        <v>3950.8</v>
      </c>
      <c r="BN9" s="25" t="n">
        <f aca="false">IF(AND(BN$4&lt;1,BN$4+Vorlauf&lt;Mietfrei),0,Flaeche*BK)</f>
        <v>3950.8</v>
      </c>
      <c r="BO9" s="25" t="n">
        <f aca="false">IF(AND(BO$4&lt;1,BO$4+Vorlauf&lt;Mietfrei),0,Flaeche*BK)</f>
        <v>3950.8</v>
      </c>
      <c r="BQ9" s="19" t="n">
        <v>1</v>
      </c>
    </row>
    <row r="10" customFormat="false" ht="15" hidden="false" customHeight="false" outlineLevel="0" collapsed="false">
      <c r="B10" s="2" t="s">
        <v>377</v>
      </c>
      <c r="C10" s="25" t="n">
        <f aca="false">IF(C$4&lt;1,0,Flaeche*Energie)</f>
        <v>0</v>
      </c>
      <c r="D10" s="25" t="n">
        <f aca="false">IF(D$4&lt;1,0,Flaeche*Energie)</f>
        <v>0</v>
      </c>
      <c r="E10" s="25" t="n">
        <f aca="false">IF(E$4&lt;1,0,Flaeche*Energie)</f>
        <v>0</v>
      </c>
      <c r="F10" s="25" t="n">
        <f aca="false">IF(F$4&lt;1,0,Flaeche*Energie)</f>
        <v>0</v>
      </c>
      <c r="G10" s="25" t="n">
        <f aca="false">IF(G$4&lt;1,0,Flaeche*Energie)</f>
        <v>0</v>
      </c>
      <c r="H10" s="25" t="n">
        <f aca="false">IF(H$4&lt;1,0,Flaeche*Energie)</f>
        <v>7901.6</v>
      </c>
      <c r="I10" s="25" t="n">
        <f aca="false">IF(I$4&lt;1,0,Flaeche*Energie)</f>
        <v>7901.6</v>
      </c>
      <c r="J10" s="25" t="n">
        <f aca="false">IF(J$4&lt;1,0,Flaeche*Energie)</f>
        <v>7901.6</v>
      </c>
      <c r="K10" s="25" t="n">
        <f aca="false">IF(K$4&lt;1,0,Flaeche*Energie)</f>
        <v>7901.6</v>
      </c>
      <c r="L10" s="25" t="n">
        <f aca="false">IF(L$4&lt;1,0,Flaeche*Energie)</f>
        <v>7901.6</v>
      </c>
      <c r="M10" s="25" t="n">
        <f aca="false">IF(M$4&lt;1,0,Flaeche*Energie)</f>
        <v>7901.6</v>
      </c>
      <c r="N10" s="25" t="n">
        <f aca="false">IF(N$4&lt;1,0,Flaeche*Energie)</f>
        <v>7901.6</v>
      </c>
      <c r="O10" s="25" t="n">
        <f aca="false">IF(O$4&lt;1,0,Flaeche*Energie)</f>
        <v>7901.6</v>
      </c>
      <c r="P10" s="25" t="n">
        <f aca="false">IF(P$4&lt;1,0,Flaeche*Energie)</f>
        <v>7901.6</v>
      </c>
      <c r="Q10" s="25" t="n">
        <f aca="false">IF(Q$4&lt;1,0,Flaeche*Energie)</f>
        <v>7901.6</v>
      </c>
      <c r="R10" s="25" t="n">
        <f aca="false">IF(R$4&lt;1,0,Flaeche*Energie)</f>
        <v>7901.6</v>
      </c>
      <c r="S10" s="25" t="n">
        <f aca="false">IF(S$4&lt;1,0,Flaeche*Energie)</f>
        <v>7901.6</v>
      </c>
      <c r="T10" s="25" t="n">
        <f aca="false">IF(T$4&lt;1,0,Flaeche*Energie)</f>
        <v>7901.6</v>
      </c>
      <c r="U10" s="25" t="n">
        <f aca="false">IF(U$4&lt;1,0,Flaeche*Energie)</f>
        <v>7901.6</v>
      </c>
      <c r="V10" s="25" t="n">
        <f aca="false">IF(V$4&lt;1,0,Flaeche*Energie)</f>
        <v>7901.6</v>
      </c>
      <c r="W10" s="25" t="n">
        <f aca="false">IF(W$4&lt;1,0,Flaeche*Energie)</f>
        <v>7901.6</v>
      </c>
      <c r="X10" s="25" t="n">
        <f aca="false">IF(X$4&lt;1,0,Flaeche*Energie)</f>
        <v>7901.6</v>
      </c>
      <c r="Y10" s="25" t="n">
        <f aca="false">IF(Y$4&lt;1,0,Flaeche*Energie)</f>
        <v>7901.6</v>
      </c>
      <c r="Z10" s="25" t="n">
        <f aca="false">IF(Z$4&lt;1,0,Flaeche*Energie)</f>
        <v>7901.6</v>
      </c>
      <c r="AA10" s="25" t="n">
        <f aca="false">IF(AA$4&lt;1,0,Flaeche*Energie)</f>
        <v>7901.6</v>
      </c>
      <c r="AB10" s="25" t="n">
        <f aca="false">IF(AB$4&lt;1,0,Flaeche*Energie)</f>
        <v>7901.6</v>
      </c>
      <c r="AC10" s="25" t="n">
        <f aca="false">IF(AC$4&lt;1,0,Flaeche*Energie)</f>
        <v>7901.6</v>
      </c>
      <c r="AD10" s="25" t="n">
        <f aca="false">IF(AD$4&lt;1,0,Flaeche*Energie)</f>
        <v>7901.6</v>
      </c>
      <c r="AE10" s="25" t="n">
        <f aca="false">IF(AE$4&lt;1,0,Flaeche*Energie)</f>
        <v>7901.6</v>
      </c>
      <c r="AF10" s="25" t="n">
        <f aca="false">IF(AF$4&lt;1,0,Flaeche*Energie)</f>
        <v>7901.6</v>
      </c>
      <c r="AG10" s="25" t="n">
        <f aca="false">IF(AG$4&lt;1,0,Flaeche*Energie)</f>
        <v>7901.6</v>
      </c>
      <c r="AH10" s="25" t="n">
        <f aca="false">IF(AH$4&lt;1,0,Flaeche*Energie)</f>
        <v>7901.6</v>
      </c>
      <c r="AI10" s="25" t="n">
        <f aca="false">IF(AI$4&lt;1,0,Flaeche*Energie)</f>
        <v>7901.6</v>
      </c>
      <c r="AJ10" s="25" t="n">
        <f aca="false">IF(AJ$4&lt;1,0,Flaeche*Energie)</f>
        <v>7901.6</v>
      </c>
      <c r="AK10" s="25" t="n">
        <f aca="false">IF(AK$4&lt;1,0,Flaeche*Energie)</f>
        <v>7901.6</v>
      </c>
      <c r="AL10" s="25" t="n">
        <f aca="false">IF(AL$4&lt;1,0,Flaeche*Energie)</f>
        <v>7901.6</v>
      </c>
      <c r="AM10" s="25" t="n">
        <f aca="false">IF(AM$4&lt;1,0,Flaeche*Energie)</f>
        <v>7901.6</v>
      </c>
      <c r="AN10" s="25" t="n">
        <f aca="false">IF(AN$4&lt;1,0,Flaeche*Energie)</f>
        <v>7901.6</v>
      </c>
      <c r="AO10" s="25" t="n">
        <f aca="false">IF(AO$4&lt;1,0,Flaeche*Energie)</f>
        <v>7901.6</v>
      </c>
      <c r="AP10" s="25" t="n">
        <f aca="false">IF(AP$4&lt;1,0,Flaeche*Energie)</f>
        <v>7901.6</v>
      </c>
      <c r="AQ10" s="25" t="n">
        <f aca="false">IF(AQ$4&lt;1,0,Flaeche*Energie)</f>
        <v>7901.6</v>
      </c>
      <c r="AR10" s="25" t="n">
        <f aca="false">IF(AR$4&lt;1,0,Flaeche*Energie)</f>
        <v>7901.6</v>
      </c>
      <c r="AS10" s="25" t="n">
        <f aca="false">IF(AS$4&lt;1,0,Flaeche*Energie)</f>
        <v>7901.6</v>
      </c>
      <c r="AT10" s="25" t="n">
        <f aca="false">IF(AT$4&lt;1,0,Flaeche*Energie)</f>
        <v>7901.6</v>
      </c>
      <c r="AU10" s="25" t="n">
        <f aca="false">IF(AU$4&lt;1,0,Flaeche*Energie)</f>
        <v>7901.6</v>
      </c>
      <c r="AV10" s="25" t="n">
        <f aca="false">IF(AV$4&lt;1,0,Flaeche*Energie)</f>
        <v>7901.6</v>
      </c>
      <c r="AW10" s="25" t="n">
        <f aca="false">IF(AW$4&lt;1,0,Flaeche*Energie)</f>
        <v>7901.6</v>
      </c>
      <c r="AX10" s="25" t="n">
        <f aca="false">IF(AX$4&lt;1,0,Flaeche*Energie)</f>
        <v>7901.6</v>
      </c>
      <c r="AY10" s="25" t="n">
        <f aca="false">IF(AY$4&lt;1,0,Flaeche*Energie)</f>
        <v>7901.6</v>
      </c>
      <c r="AZ10" s="25" t="n">
        <f aca="false">IF(AZ$4&lt;1,0,Flaeche*Energie)</f>
        <v>7901.6</v>
      </c>
      <c r="BA10" s="25" t="n">
        <f aca="false">IF(BA$4&lt;1,0,Flaeche*Energie)</f>
        <v>7901.6</v>
      </c>
      <c r="BB10" s="25" t="n">
        <f aca="false">IF(BB$4&lt;1,0,Flaeche*Energie)</f>
        <v>7901.6</v>
      </c>
      <c r="BC10" s="25" t="n">
        <f aca="false">IF(BC$4&lt;1,0,Flaeche*Energie)</f>
        <v>7901.6</v>
      </c>
      <c r="BD10" s="25" t="n">
        <f aca="false">IF(BD$4&lt;1,0,Flaeche*Energie)</f>
        <v>7901.6</v>
      </c>
      <c r="BE10" s="25" t="n">
        <f aca="false">IF(BE$4&lt;1,0,Flaeche*Energie)</f>
        <v>7901.6</v>
      </c>
      <c r="BF10" s="25" t="n">
        <f aca="false">IF(BF$4&lt;1,0,Flaeche*Energie)</f>
        <v>7901.6</v>
      </c>
      <c r="BG10" s="25" t="n">
        <f aca="false">IF(BG$4&lt;1,0,Flaeche*Energie)</f>
        <v>7901.6</v>
      </c>
      <c r="BH10" s="25" t="n">
        <f aca="false">IF(BH$4&lt;1,0,Flaeche*Energie)</f>
        <v>7901.6</v>
      </c>
      <c r="BI10" s="25" t="n">
        <f aca="false">IF(BI$4&lt;1,0,Flaeche*Energie)</f>
        <v>7901.6</v>
      </c>
      <c r="BJ10" s="25" t="n">
        <f aca="false">IF(BJ$4&lt;1,0,Flaeche*Energie)</f>
        <v>7901.6</v>
      </c>
      <c r="BK10" s="25" t="n">
        <f aca="false">IF(BK$4&lt;1,0,Flaeche*Energie)</f>
        <v>7901.6</v>
      </c>
      <c r="BL10" s="25" t="n">
        <f aca="false">IF(BL$4&lt;1,0,Flaeche*Energie)</f>
        <v>7901.6</v>
      </c>
      <c r="BM10" s="25" t="n">
        <f aca="false">IF(BM$4&lt;1,0,Flaeche*Energie)</f>
        <v>7901.6</v>
      </c>
      <c r="BN10" s="25" t="n">
        <f aca="false">IF(BN$4&lt;1,0,Flaeche*Energie)</f>
        <v>7901.6</v>
      </c>
      <c r="BO10" s="25" t="n">
        <f aca="false">IF(BO$4&lt;1,0,Flaeche*Energie)</f>
        <v>7901.6</v>
      </c>
      <c r="BQ10" s="19" t="n">
        <v>1</v>
      </c>
    </row>
    <row r="11" customFormat="false" ht="15" hidden="false" customHeight="false" outlineLevel="0" collapsed="false">
      <c r="B11" s="2" t="s">
        <v>378</v>
      </c>
      <c r="C11" s="25" t="n">
        <f aca="false">IF(C$4+Vorlauf&gt;=Vorlauf-Marketing_Vorverkauf_Monate,Marketing_Vorverkauf/Marketing_Vorverkauf_Monate,0)</f>
        <v>0</v>
      </c>
      <c r="D11" s="25" t="n">
        <f aca="false">IF(D$4+Vorlauf&gt;=Vorlauf-Marketing_Vorverkauf_Monate,Marketing_Vorverkauf/Marketing_Vorverkauf_Monate,0)</f>
        <v>0</v>
      </c>
      <c r="E11" s="25" t="n">
        <f aca="false">IF(E$4+Vorlauf&gt;=Vorlauf-Marketing_Vorverkauf_Monate,Marketing_Vorverkauf/Marketing_Vorverkauf_Monate,0)</f>
        <v>11666.6666666667</v>
      </c>
      <c r="F11" s="25" t="n">
        <f aca="false">IF(F$4+Vorlauf&gt;=Vorlauf-Marketing_Vorverkauf_Monate,Marketing_Vorverkauf/Marketing_Vorverkauf_Monate,0)</f>
        <v>11666.6666666667</v>
      </c>
      <c r="G11" s="25" t="n">
        <f aca="false">IF(G$4+Vorlauf&gt;=Vorlauf-Marketing_Vorverkauf_Monate,Marketing_Vorverkauf/Marketing_Vorverkauf_Monate,0)</f>
        <v>11666.6666666667</v>
      </c>
      <c r="H11" s="25" t="n">
        <f aca="false">Marketing_laufend+IF(H$4&lt;=3,Marketing_Eroeff,0)+Marketing_Pct*Umsatz!C16</f>
        <v>9500</v>
      </c>
      <c r="I11" s="25" t="n">
        <f aca="false">Marketing_laufend+IF(I$4&lt;=3,Marketing_Eroeff,0)+Marketing_Pct*Umsatz!D16</f>
        <v>9500</v>
      </c>
      <c r="J11" s="25" t="n">
        <f aca="false">Marketing_laufend+IF(J$4&lt;=3,Marketing_Eroeff,0)+Marketing_Pct*Umsatz!E16</f>
        <v>9500</v>
      </c>
      <c r="K11" s="25" t="n">
        <f aca="false">Marketing_laufend+IF(K$4&lt;=3,Marketing_Eroeff,0)+Marketing_Pct*Umsatz!F16</f>
        <v>3500</v>
      </c>
      <c r="L11" s="25" t="n">
        <f aca="false">Marketing_laufend+IF(L$4&lt;=3,Marketing_Eroeff,0)+Marketing_Pct*Umsatz!G16</f>
        <v>3500</v>
      </c>
      <c r="M11" s="25" t="n">
        <f aca="false">Marketing_laufend+IF(M$4&lt;=3,Marketing_Eroeff,0)+Marketing_Pct*Umsatz!H16</f>
        <v>3500</v>
      </c>
      <c r="N11" s="25" t="n">
        <f aca="false">Marketing_laufend+IF(N$4&lt;=3,Marketing_Eroeff,0)+Marketing_Pct*Umsatz!I16</f>
        <v>3500</v>
      </c>
      <c r="O11" s="25" t="n">
        <f aca="false">Marketing_laufend+IF(O$4&lt;=3,Marketing_Eroeff,0)+Marketing_Pct*Umsatz!J16</f>
        <v>3500</v>
      </c>
      <c r="P11" s="25" t="n">
        <f aca="false">Marketing_laufend+IF(P$4&lt;=3,Marketing_Eroeff,0)+Marketing_Pct*Umsatz!K16</f>
        <v>3500</v>
      </c>
      <c r="Q11" s="25" t="n">
        <f aca="false">Marketing_laufend+IF(Q$4&lt;=3,Marketing_Eroeff,0)+Marketing_Pct*Umsatz!L16</f>
        <v>3500</v>
      </c>
      <c r="R11" s="25" t="n">
        <f aca="false">Marketing_laufend+IF(R$4&lt;=3,Marketing_Eroeff,0)+Marketing_Pct*Umsatz!M16</f>
        <v>3500</v>
      </c>
      <c r="S11" s="25" t="n">
        <f aca="false">Marketing_laufend+IF(S$4&lt;=3,Marketing_Eroeff,0)+Marketing_Pct*Umsatz!N16</f>
        <v>3500</v>
      </c>
      <c r="T11" s="25" t="n">
        <f aca="false">Marketing_laufend+IF(T$4&lt;=3,Marketing_Eroeff,0)+Marketing_Pct*Umsatz!O16</f>
        <v>3500</v>
      </c>
      <c r="U11" s="25" t="n">
        <f aca="false">Marketing_laufend+IF(U$4&lt;=3,Marketing_Eroeff,0)+Marketing_Pct*Umsatz!P16</f>
        <v>3500</v>
      </c>
      <c r="V11" s="25" t="n">
        <f aca="false">Marketing_laufend+IF(V$4&lt;=3,Marketing_Eroeff,0)+Marketing_Pct*Umsatz!Q16</f>
        <v>3500</v>
      </c>
      <c r="W11" s="25" t="n">
        <f aca="false">Marketing_laufend+IF(W$4&lt;=3,Marketing_Eroeff,0)+Marketing_Pct*Umsatz!R16</f>
        <v>3500</v>
      </c>
      <c r="X11" s="25" t="n">
        <f aca="false">Marketing_laufend+IF(X$4&lt;=3,Marketing_Eroeff,0)+Marketing_Pct*Umsatz!S16</f>
        <v>3500</v>
      </c>
      <c r="Y11" s="25" t="n">
        <f aca="false">Marketing_laufend+IF(Y$4&lt;=3,Marketing_Eroeff,0)+Marketing_Pct*Umsatz!T16</f>
        <v>3500</v>
      </c>
      <c r="Z11" s="25" t="n">
        <f aca="false">Marketing_laufend+IF(Z$4&lt;=3,Marketing_Eroeff,0)+Marketing_Pct*Umsatz!U16</f>
        <v>3500</v>
      </c>
      <c r="AA11" s="25" t="n">
        <f aca="false">Marketing_laufend+IF(AA$4&lt;=3,Marketing_Eroeff,0)+Marketing_Pct*Umsatz!V16</f>
        <v>3500</v>
      </c>
      <c r="AB11" s="25" t="n">
        <f aca="false">Marketing_laufend+IF(AB$4&lt;=3,Marketing_Eroeff,0)+Marketing_Pct*Umsatz!W16</f>
        <v>3500</v>
      </c>
      <c r="AC11" s="25" t="n">
        <f aca="false">Marketing_laufend+IF(AC$4&lt;=3,Marketing_Eroeff,0)+Marketing_Pct*Umsatz!X16</f>
        <v>3500</v>
      </c>
      <c r="AD11" s="25" t="n">
        <f aca="false">Marketing_laufend+IF(AD$4&lt;=3,Marketing_Eroeff,0)+Marketing_Pct*Umsatz!Y16</f>
        <v>3500</v>
      </c>
      <c r="AE11" s="25" t="n">
        <f aca="false">Marketing_laufend+IF(AE$4&lt;=3,Marketing_Eroeff,0)+Marketing_Pct*Umsatz!Z16</f>
        <v>3500</v>
      </c>
      <c r="AF11" s="25" t="n">
        <f aca="false">Marketing_laufend+IF(AF$4&lt;=3,Marketing_Eroeff,0)+Marketing_Pct*Umsatz!AA16</f>
        <v>3500</v>
      </c>
      <c r="AG11" s="25" t="n">
        <f aca="false">Marketing_laufend+IF(AG$4&lt;=3,Marketing_Eroeff,0)+Marketing_Pct*Umsatz!AB16</f>
        <v>3500</v>
      </c>
      <c r="AH11" s="25" t="n">
        <f aca="false">Marketing_laufend+IF(AH$4&lt;=3,Marketing_Eroeff,0)+Marketing_Pct*Umsatz!AC16</f>
        <v>3500</v>
      </c>
      <c r="AI11" s="25" t="n">
        <f aca="false">Marketing_laufend+IF(AI$4&lt;=3,Marketing_Eroeff,0)+Marketing_Pct*Umsatz!AD16</f>
        <v>3500</v>
      </c>
      <c r="AJ11" s="25" t="n">
        <f aca="false">Marketing_laufend+IF(AJ$4&lt;=3,Marketing_Eroeff,0)+Marketing_Pct*Umsatz!AE16</f>
        <v>3500</v>
      </c>
      <c r="AK11" s="25" t="n">
        <f aca="false">Marketing_laufend+IF(AK$4&lt;=3,Marketing_Eroeff,0)+Marketing_Pct*Umsatz!AF16</f>
        <v>3500</v>
      </c>
      <c r="AL11" s="25" t="n">
        <f aca="false">Marketing_laufend+IF(AL$4&lt;=3,Marketing_Eroeff,0)+Marketing_Pct*Umsatz!AG16</f>
        <v>3500</v>
      </c>
      <c r="AM11" s="25" t="n">
        <f aca="false">Marketing_laufend+IF(AM$4&lt;=3,Marketing_Eroeff,0)+Marketing_Pct*Umsatz!AH16</f>
        <v>3500</v>
      </c>
      <c r="AN11" s="25" t="n">
        <f aca="false">Marketing_laufend+IF(AN$4&lt;=3,Marketing_Eroeff,0)+Marketing_Pct*Umsatz!AI16</f>
        <v>3500</v>
      </c>
      <c r="AO11" s="25" t="n">
        <f aca="false">Marketing_laufend+IF(AO$4&lt;=3,Marketing_Eroeff,0)+Marketing_Pct*Umsatz!AJ16</f>
        <v>3500</v>
      </c>
      <c r="AP11" s="25" t="n">
        <f aca="false">Marketing_laufend+IF(AP$4&lt;=3,Marketing_Eroeff,0)+Marketing_Pct*Umsatz!AK16</f>
        <v>3500</v>
      </c>
      <c r="AQ11" s="25" t="n">
        <f aca="false">Marketing_laufend+IF(AQ$4&lt;=3,Marketing_Eroeff,0)+Marketing_Pct*Umsatz!AL16</f>
        <v>3500</v>
      </c>
      <c r="AR11" s="25" t="n">
        <f aca="false">Marketing_laufend+IF(AR$4&lt;=3,Marketing_Eroeff,0)+Marketing_Pct*Umsatz!AM16</f>
        <v>3500</v>
      </c>
      <c r="AS11" s="25" t="n">
        <f aca="false">Marketing_laufend+IF(AS$4&lt;=3,Marketing_Eroeff,0)+Marketing_Pct*Umsatz!AN16</f>
        <v>3500</v>
      </c>
      <c r="AT11" s="25" t="n">
        <f aca="false">Marketing_laufend+IF(AT$4&lt;=3,Marketing_Eroeff,0)+Marketing_Pct*Umsatz!AO16</f>
        <v>3500</v>
      </c>
      <c r="AU11" s="25" t="n">
        <f aca="false">Marketing_laufend+IF(AU$4&lt;=3,Marketing_Eroeff,0)+Marketing_Pct*Umsatz!AP16</f>
        <v>3500</v>
      </c>
      <c r="AV11" s="25" t="n">
        <f aca="false">Marketing_laufend+IF(AV$4&lt;=3,Marketing_Eroeff,0)+Marketing_Pct*Umsatz!AQ16</f>
        <v>3500</v>
      </c>
      <c r="AW11" s="25" t="n">
        <f aca="false">Marketing_laufend+IF(AW$4&lt;=3,Marketing_Eroeff,0)+Marketing_Pct*Umsatz!AR16</f>
        <v>3500</v>
      </c>
      <c r="AX11" s="25" t="n">
        <f aca="false">Marketing_laufend+IF(AX$4&lt;=3,Marketing_Eroeff,0)+Marketing_Pct*Umsatz!AS16</f>
        <v>3500</v>
      </c>
      <c r="AY11" s="25" t="n">
        <f aca="false">Marketing_laufend+IF(AY$4&lt;=3,Marketing_Eroeff,0)+Marketing_Pct*Umsatz!AT16</f>
        <v>3500</v>
      </c>
      <c r="AZ11" s="25" t="n">
        <f aca="false">Marketing_laufend+IF(AZ$4&lt;=3,Marketing_Eroeff,0)+Marketing_Pct*Umsatz!AU16</f>
        <v>3500</v>
      </c>
      <c r="BA11" s="25" t="n">
        <f aca="false">Marketing_laufend+IF(BA$4&lt;=3,Marketing_Eroeff,0)+Marketing_Pct*Umsatz!AV16</f>
        <v>3500</v>
      </c>
      <c r="BB11" s="25" t="n">
        <f aca="false">Marketing_laufend+IF(BB$4&lt;=3,Marketing_Eroeff,0)+Marketing_Pct*Umsatz!AW16</f>
        <v>3500</v>
      </c>
      <c r="BC11" s="25" t="n">
        <f aca="false">Marketing_laufend+IF(BC$4&lt;=3,Marketing_Eroeff,0)+Marketing_Pct*Umsatz!AX16</f>
        <v>3500</v>
      </c>
      <c r="BD11" s="25" t="n">
        <f aca="false">Marketing_laufend+IF(BD$4&lt;=3,Marketing_Eroeff,0)+Marketing_Pct*Umsatz!AY16</f>
        <v>3500</v>
      </c>
      <c r="BE11" s="25" t="n">
        <f aca="false">Marketing_laufend+IF(BE$4&lt;=3,Marketing_Eroeff,0)+Marketing_Pct*Umsatz!AZ16</f>
        <v>3500</v>
      </c>
      <c r="BF11" s="25" t="n">
        <f aca="false">Marketing_laufend+IF(BF$4&lt;=3,Marketing_Eroeff,0)+Marketing_Pct*Umsatz!BA16</f>
        <v>3500</v>
      </c>
      <c r="BG11" s="25" t="n">
        <f aca="false">Marketing_laufend+IF(BG$4&lt;=3,Marketing_Eroeff,0)+Marketing_Pct*Umsatz!BB16</f>
        <v>3500</v>
      </c>
      <c r="BH11" s="25" t="n">
        <f aca="false">Marketing_laufend+IF(BH$4&lt;=3,Marketing_Eroeff,0)+Marketing_Pct*Umsatz!BC16</f>
        <v>3500</v>
      </c>
      <c r="BI11" s="25" t="n">
        <f aca="false">Marketing_laufend+IF(BI$4&lt;=3,Marketing_Eroeff,0)+Marketing_Pct*Umsatz!BD16</f>
        <v>3500</v>
      </c>
      <c r="BJ11" s="25" t="n">
        <f aca="false">Marketing_laufend+IF(BJ$4&lt;=3,Marketing_Eroeff,0)+Marketing_Pct*Umsatz!BE16</f>
        <v>3500</v>
      </c>
      <c r="BK11" s="25" t="n">
        <f aca="false">Marketing_laufend+IF(BK$4&lt;=3,Marketing_Eroeff,0)+Marketing_Pct*Umsatz!BF16</f>
        <v>3500</v>
      </c>
      <c r="BL11" s="25" t="n">
        <f aca="false">Marketing_laufend+IF(BL$4&lt;=3,Marketing_Eroeff,0)+Marketing_Pct*Umsatz!BG16</f>
        <v>3500</v>
      </c>
      <c r="BM11" s="25" t="n">
        <f aca="false">Marketing_laufend+IF(BM$4&lt;=3,Marketing_Eroeff,0)+Marketing_Pct*Umsatz!BH16</f>
        <v>3500</v>
      </c>
      <c r="BN11" s="25" t="n">
        <f aca="false">Marketing_laufend+IF(BN$4&lt;=3,Marketing_Eroeff,0)+Marketing_Pct*Umsatz!BI16</f>
        <v>3500</v>
      </c>
      <c r="BO11" s="25" t="n">
        <f aca="false">Marketing_laufend+IF(BO$4&lt;=3,Marketing_Eroeff,0)+Marketing_Pct*Umsatz!BJ16</f>
        <v>3500</v>
      </c>
      <c r="BQ11" s="19" t="n">
        <v>1</v>
      </c>
    </row>
    <row r="12" customFormat="false" ht="15" hidden="false" customHeight="false" outlineLevel="0" collapsed="false">
      <c r="B12" s="2" t="s">
        <v>379</v>
      </c>
      <c r="C12" s="25" t="n">
        <f aca="false">IF(C$4&lt;1,0,Versicherung)</f>
        <v>0</v>
      </c>
      <c r="D12" s="25" t="n">
        <f aca="false">IF(D$4&lt;1,0,Versicherung)</f>
        <v>0</v>
      </c>
      <c r="E12" s="25" t="n">
        <f aca="false">IF(E$4&lt;1,0,Versicherung)</f>
        <v>0</v>
      </c>
      <c r="F12" s="25" t="n">
        <f aca="false">IF(F$4&lt;1,0,Versicherung)</f>
        <v>0</v>
      </c>
      <c r="G12" s="25" t="n">
        <f aca="false">IF(G$4&lt;1,0,Versicherung)</f>
        <v>0</v>
      </c>
      <c r="H12" s="25" t="n">
        <f aca="false">IF(H$4&lt;1,0,Versicherung)</f>
        <v>900</v>
      </c>
      <c r="I12" s="25" t="n">
        <f aca="false">IF(I$4&lt;1,0,Versicherung)</f>
        <v>900</v>
      </c>
      <c r="J12" s="25" t="n">
        <f aca="false">IF(J$4&lt;1,0,Versicherung)</f>
        <v>900</v>
      </c>
      <c r="K12" s="25" t="n">
        <f aca="false">IF(K$4&lt;1,0,Versicherung)</f>
        <v>900</v>
      </c>
      <c r="L12" s="25" t="n">
        <f aca="false">IF(L$4&lt;1,0,Versicherung)</f>
        <v>900</v>
      </c>
      <c r="M12" s="25" t="n">
        <f aca="false">IF(M$4&lt;1,0,Versicherung)</f>
        <v>900</v>
      </c>
      <c r="N12" s="25" t="n">
        <f aca="false">IF(N$4&lt;1,0,Versicherung)</f>
        <v>900</v>
      </c>
      <c r="O12" s="25" t="n">
        <f aca="false">IF(O$4&lt;1,0,Versicherung)</f>
        <v>900</v>
      </c>
      <c r="P12" s="25" t="n">
        <f aca="false">IF(P$4&lt;1,0,Versicherung)</f>
        <v>900</v>
      </c>
      <c r="Q12" s="25" t="n">
        <f aca="false">IF(Q$4&lt;1,0,Versicherung)</f>
        <v>900</v>
      </c>
      <c r="R12" s="25" t="n">
        <f aca="false">IF(R$4&lt;1,0,Versicherung)</f>
        <v>900</v>
      </c>
      <c r="S12" s="25" t="n">
        <f aca="false">IF(S$4&lt;1,0,Versicherung)</f>
        <v>900</v>
      </c>
      <c r="T12" s="25" t="n">
        <f aca="false">IF(T$4&lt;1,0,Versicherung)</f>
        <v>900</v>
      </c>
      <c r="U12" s="25" t="n">
        <f aca="false">IF(U$4&lt;1,0,Versicherung)</f>
        <v>900</v>
      </c>
      <c r="V12" s="25" t="n">
        <f aca="false">IF(V$4&lt;1,0,Versicherung)</f>
        <v>900</v>
      </c>
      <c r="W12" s="25" t="n">
        <f aca="false">IF(W$4&lt;1,0,Versicherung)</f>
        <v>900</v>
      </c>
      <c r="X12" s="25" t="n">
        <f aca="false">IF(X$4&lt;1,0,Versicherung)</f>
        <v>900</v>
      </c>
      <c r="Y12" s="25" t="n">
        <f aca="false">IF(Y$4&lt;1,0,Versicherung)</f>
        <v>900</v>
      </c>
      <c r="Z12" s="25" t="n">
        <f aca="false">IF(Z$4&lt;1,0,Versicherung)</f>
        <v>900</v>
      </c>
      <c r="AA12" s="25" t="n">
        <f aca="false">IF(AA$4&lt;1,0,Versicherung)</f>
        <v>900</v>
      </c>
      <c r="AB12" s="25" t="n">
        <f aca="false">IF(AB$4&lt;1,0,Versicherung)</f>
        <v>900</v>
      </c>
      <c r="AC12" s="25" t="n">
        <f aca="false">IF(AC$4&lt;1,0,Versicherung)</f>
        <v>900</v>
      </c>
      <c r="AD12" s="25" t="n">
        <f aca="false">IF(AD$4&lt;1,0,Versicherung)</f>
        <v>900</v>
      </c>
      <c r="AE12" s="25" t="n">
        <f aca="false">IF(AE$4&lt;1,0,Versicherung)</f>
        <v>900</v>
      </c>
      <c r="AF12" s="25" t="n">
        <f aca="false">IF(AF$4&lt;1,0,Versicherung)</f>
        <v>900</v>
      </c>
      <c r="AG12" s="25" t="n">
        <f aca="false">IF(AG$4&lt;1,0,Versicherung)</f>
        <v>900</v>
      </c>
      <c r="AH12" s="25" t="n">
        <f aca="false">IF(AH$4&lt;1,0,Versicherung)</f>
        <v>900</v>
      </c>
      <c r="AI12" s="25" t="n">
        <f aca="false">IF(AI$4&lt;1,0,Versicherung)</f>
        <v>900</v>
      </c>
      <c r="AJ12" s="25" t="n">
        <f aca="false">IF(AJ$4&lt;1,0,Versicherung)</f>
        <v>900</v>
      </c>
      <c r="AK12" s="25" t="n">
        <f aca="false">IF(AK$4&lt;1,0,Versicherung)</f>
        <v>900</v>
      </c>
      <c r="AL12" s="25" t="n">
        <f aca="false">IF(AL$4&lt;1,0,Versicherung)</f>
        <v>900</v>
      </c>
      <c r="AM12" s="25" t="n">
        <f aca="false">IF(AM$4&lt;1,0,Versicherung)</f>
        <v>900</v>
      </c>
      <c r="AN12" s="25" t="n">
        <f aca="false">IF(AN$4&lt;1,0,Versicherung)</f>
        <v>900</v>
      </c>
      <c r="AO12" s="25" t="n">
        <f aca="false">IF(AO$4&lt;1,0,Versicherung)</f>
        <v>900</v>
      </c>
      <c r="AP12" s="25" t="n">
        <f aca="false">IF(AP$4&lt;1,0,Versicherung)</f>
        <v>900</v>
      </c>
      <c r="AQ12" s="25" t="n">
        <f aca="false">IF(AQ$4&lt;1,0,Versicherung)</f>
        <v>900</v>
      </c>
      <c r="AR12" s="25" t="n">
        <f aca="false">IF(AR$4&lt;1,0,Versicherung)</f>
        <v>900</v>
      </c>
      <c r="AS12" s="25" t="n">
        <f aca="false">IF(AS$4&lt;1,0,Versicherung)</f>
        <v>900</v>
      </c>
      <c r="AT12" s="25" t="n">
        <f aca="false">IF(AT$4&lt;1,0,Versicherung)</f>
        <v>900</v>
      </c>
      <c r="AU12" s="25" t="n">
        <f aca="false">IF(AU$4&lt;1,0,Versicherung)</f>
        <v>900</v>
      </c>
      <c r="AV12" s="25" t="n">
        <f aca="false">IF(AV$4&lt;1,0,Versicherung)</f>
        <v>900</v>
      </c>
      <c r="AW12" s="25" t="n">
        <f aca="false">IF(AW$4&lt;1,0,Versicherung)</f>
        <v>900</v>
      </c>
      <c r="AX12" s="25" t="n">
        <f aca="false">IF(AX$4&lt;1,0,Versicherung)</f>
        <v>900</v>
      </c>
      <c r="AY12" s="25" t="n">
        <f aca="false">IF(AY$4&lt;1,0,Versicherung)</f>
        <v>900</v>
      </c>
      <c r="AZ12" s="25" t="n">
        <f aca="false">IF(AZ$4&lt;1,0,Versicherung)</f>
        <v>900</v>
      </c>
      <c r="BA12" s="25" t="n">
        <f aca="false">IF(BA$4&lt;1,0,Versicherung)</f>
        <v>900</v>
      </c>
      <c r="BB12" s="25" t="n">
        <f aca="false">IF(BB$4&lt;1,0,Versicherung)</f>
        <v>900</v>
      </c>
      <c r="BC12" s="25" t="n">
        <f aca="false">IF(BC$4&lt;1,0,Versicherung)</f>
        <v>900</v>
      </c>
      <c r="BD12" s="25" t="n">
        <f aca="false">IF(BD$4&lt;1,0,Versicherung)</f>
        <v>900</v>
      </c>
      <c r="BE12" s="25" t="n">
        <f aca="false">IF(BE$4&lt;1,0,Versicherung)</f>
        <v>900</v>
      </c>
      <c r="BF12" s="25" t="n">
        <f aca="false">IF(BF$4&lt;1,0,Versicherung)</f>
        <v>900</v>
      </c>
      <c r="BG12" s="25" t="n">
        <f aca="false">IF(BG$4&lt;1,0,Versicherung)</f>
        <v>900</v>
      </c>
      <c r="BH12" s="25" t="n">
        <f aca="false">IF(BH$4&lt;1,0,Versicherung)</f>
        <v>900</v>
      </c>
      <c r="BI12" s="25" t="n">
        <f aca="false">IF(BI$4&lt;1,0,Versicherung)</f>
        <v>900</v>
      </c>
      <c r="BJ12" s="25" t="n">
        <f aca="false">IF(BJ$4&lt;1,0,Versicherung)</f>
        <v>900</v>
      </c>
      <c r="BK12" s="25" t="n">
        <f aca="false">IF(BK$4&lt;1,0,Versicherung)</f>
        <v>900</v>
      </c>
      <c r="BL12" s="25" t="n">
        <f aca="false">IF(BL$4&lt;1,0,Versicherung)</f>
        <v>900</v>
      </c>
      <c r="BM12" s="25" t="n">
        <f aca="false">IF(BM$4&lt;1,0,Versicherung)</f>
        <v>900</v>
      </c>
      <c r="BN12" s="25" t="n">
        <f aca="false">IF(BN$4&lt;1,0,Versicherung)</f>
        <v>900</v>
      </c>
      <c r="BO12" s="25" t="n">
        <f aca="false">IF(BO$4&lt;1,0,Versicherung)</f>
        <v>900</v>
      </c>
      <c r="BQ12" s="19" t="n">
        <v>0</v>
      </c>
    </row>
    <row r="13" customFormat="false" ht="15" hidden="false" customHeight="false" outlineLevel="0" collapsed="false">
      <c r="B13" s="2" t="s">
        <v>380</v>
      </c>
      <c r="C13" s="25" t="n">
        <f aca="false">IF(C$4&lt;1,0,GEMA)</f>
        <v>0</v>
      </c>
      <c r="D13" s="25" t="n">
        <f aca="false">IF(D$4&lt;1,0,GEMA)</f>
        <v>0</v>
      </c>
      <c r="E13" s="25" t="n">
        <f aca="false">IF(E$4&lt;1,0,GEMA)</f>
        <v>0</v>
      </c>
      <c r="F13" s="25" t="n">
        <f aca="false">IF(F$4&lt;1,0,GEMA)</f>
        <v>0</v>
      </c>
      <c r="G13" s="25" t="n">
        <f aca="false">IF(G$4&lt;1,0,GEMA)</f>
        <v>0</v>
      </c>
      <c r="H13" s="25" t="n">
        <f aca="false">IF(H$4&lt;1,0,GEMA)</f>
        <v>350</v>
      </c>
      <c r="I13" s="25" t="n">
        <f aca="false">IF(I$4&lt;1,0,GEMA)</f>
        <v>350</v>
      </c>
      <c r="J13" s="25" t="n">
        <f aca="false">IF(J$4&lt;1,0,GEMA)</f>
        <v>350</v>
      </c>
      <c r="K13" s="25" t="n">
        <f aca="false">IF(K$4&lt;1,0,GEMA)</f>
        <v>350</v>
      </c>
      <c r="L13" s="25" t="n">
        <f aca="false">IF(L$4&lt;1,0,GEMA)</f>
        <v>350</v>
      </c>
      <c r="M13" s="25" t="n">
        <f aca="false">IF(M$4&lt;1,0,GEMA)</f>
        <v>350</v>
      </c>
      <c r="N13" s="25" t="n">
        <f aca="false">IF(N$4&lt;1,0,GEMA)</f>
        <v>350</v>
      </c>
      <c r="O13" s="25" t="n">
        <f aca="false">IF(O$4&lt;1,0,GEMA)</f>
        <v>350</v>
      </c>
      <c r="P13" s="25" t="n">
        <f aca="false">IF(P$4&lt;1,0,GEMA)</f>
        <v>350</v>
      </c>
      <c r="Q13" s="25" t="n">
        <f aca="false">IF(Q$4&lt;1,0,GEMA)</f>
        <v>350</v>
      </c>
      <c r="R13" s="25" t="n">
        <f aca="false">IF(R$4&lt;1,0,GEMA)</f>
        <v>350</v>
      </c>
      <c r="S13" s="25" t="n">
        <f aca="false">IF(S$4&lt;1,0,GEMA)</f>
        <v>350</v>
      </c>
      <c r="T13" s="25" t="n">
        <f aca="false">IF(T$4&lt;1,0,GEMA)</f>
        <v>350</v>
      </c>
      <c r="U13" s="25" t="n">
        <f aca="false">IF(U$4&lt;1,0,GEMA)</f>
        <v>350</v>
      </c>
      <c r="V13" s="25" t="n">
        <f aca="false">IF(V$4&lt;1,0,GEMA)</f>
        <v>350</v>
      </c>
      <c r="W13" s="25" t="n">
        <f aca="false">IF(W$4&lt;1,0,GEMA)</f>
        <v>350</v>
      </c>
      <c r="X13" s="25" t="n">
        <f aca="false">IF(X$4&lt;1,0,GEMA)</f>
        <v>350</v>
      </c>
      <c r="Y13" s="25" t="n">
        <f aca="false">IF(Y$4&lt;1,0,GEMA)</f>
        <v>350</v>
      </c>
      <c r="Z13" s="25" t="n">
        <f aca="false">IF(Z$4&lt;1,0,GEMA)</f>
        <v>350</v>
      </c>
      <c r="AA13" s="25" t="n">
        <f aca="false">IF(AA$4&lt;1,0,GEMA)</f>
        <v>350</v>
      </c>
      <c r="AB13" s="25" t="n">
        <f aca="false">IF(AB$4&lt;1,0,GEMA)</f>
        <v>350</v>
      </c>
      <c r="AC13" s="25" t="n">
        <f aca="false">IF(AC$4&lt;1,0,GEMA)</f>
        <v>350</v>
      </c>
      <c r="AD13" s="25" t="n">
        <f aca="false">IF(AD$4&lt;1,0,GEMA)</f>
        <v>350</v>
      </c>
      <c r="AE13" s="25" t="n">
        <f aca="false">IF(AE$4&lt;1,0,GEMA)</f>
        <v>350</v>
      </c>
      <c r="AF13" s="25" t="n">
        <f aca="false">IF(AF$4&lt;1,0,GEMA)</f>
        <v>350</v>
      </c>
      <c r="AG13" s="25" t="n">
        <f aca="false">IF(AG$4&lt;1,0,GEMA)</f>
        <v>350</v>
      </c>
      <c r="AH13" s="25" t="n">
        <f aca="false">IF(AH$4&lt;1,0,GEMA)</f>
        <v>350</v>
      </c>
      <c r="AI13" s="25" t="n">
        <f aca="false">IF(AI$4&lt;1,0,GEMA)</f>
        <v>350</v>
      </c>
      <c r="AJ13" s="25" t="n">
        <f aca="false">IF(AJ$4&lt;1,0,GEMA)</f>
        <v>350</v>
      </c>
      <c r="AK13" s="25" t="n">
        <f aca="false">IF(AK$4&lt;1,0,GEMA)</f>
        <v>350</v>
      </c>
      <c r="AL13" s="25" t="n">
        <f aca="false">IF(AL$4&lt;1,0,GEMA)</f>
        <v>350</v>
      </c>
      <c r="AM13" s="25" t="n">
        <f aca="false">IF(AM$4&lt;1,0,GEMA)</f>
        <v>350</v>
      </c>
      <c r="AN13" s="25" t="n">
        <f aca="false">IF(AN$4&lt;1,0,GEMA)</f>
        <v>350</v>
      </c>
      <c r="AO13" s="25" t="n">
        <f aca="false">IF(AO$4&lt;1,0,GEMA)</f>
        <v>350</v>
      </c>
      <c r="AP13" s="25" t="n">
        <f aca="false">IF(AP$4&lt;1,0,GEMA)</f>
        <v>350</v>
      </c>
      <c r="AQ13" s="25" t="n">
        <f aca="false">IF(AQ$4&lt;1,0,GEMA)</f>
        <v>350</v>
      </c>
      <c r="AR13" s="25" t="n">
        <f aca="false">IF(AR$4&lt;1,0,GEMA)</f>
        <v>350</v>
      </c>
      <c r="AS13" s="25" t="n">
        <f aca="false">IF(AS$4&lt;1,0,GEMA)</f>
        <v>350</v>
      </c>
      <c r="AT13" s="25" t="n">
        <f aca="false">IF(AT$4&lt;1,0,GEMA)</f>
        <v>350</v>
      </c>
      <c r="AU13" s="25" t="n">
        <f aca="false">IF(AU$4&lt;1,0,GEMA)</f>
        <v>350</v>
      </c>
      <c r="AV13" s="25" t="n">
        <f aca="false">IF(AV$4&lt;1,0,GEMA)</f>
        <v>350</v>
      </c>
      <c r="AW13" s="25" t="n">
        <f aca="false">IF(AW$4&lt;1,0,GEMA)</f>
        <v>350</v>
      </c>
      <c r="AX13" s="25" t="n">
        <f aca="false">IF(AX$4&lt;1,0,GEMA)</f>
        <v>350</v>
      </c>
      <c r="AY13" s="25" t="n">
        <f aca="false">IF(AY$4&lt;1,0,GEMA)</f>
        <v>350</v>
      </c>
      <c r="AZ13" s="25" t="n">
        <f aca="false">IF(AZ$4&lt;1,0,GEMA)</f>
        <v>350</v>
      </c>
      <c r="BA13" s="25" t="n">
        <f aca="false">IF(BA$4&lt;1,0,GEMA)</f>
        <v>350</v>
      </c>
      <c r="BB13" s="25" t="n">
        <f aca="false">IF(BB$4&lt;1,0,GEMA)</f>
        <v>350</v>
      </c>
      <c r="BC13" s="25" t="n">
        <f aca="false">IF(BC$4&lt;1,0,GEMA)</f>
        <v>350</v>
      </c>
      <c r="BD13" s="25" t="n">
        <f aca="false">IF(BD$4&lt;1,0,GEMA)</f>
        <v>350</v>
      </c>
      <c r="BE13" s="25" t="n">
        <f aca="false">IF(BE$4&lt;1,0,GEMA)</f>
        <v>350</v>
      </c>
      <c r="BF13" s="25" t="n">
        <f aca="false">IF(BF$4&lt;1,0,GEMA)</f>
        <v>350</v>
      </c>
      <c r="BG13" s="25" t="n">
        <f aca="false">IF(BG$4&lt;1,0,GEMA)</f>
        <v>350</v>
      </c>
      <c r="BH13" s="25" t="n">
        <f aca="false">IF(BH$4&lt;1,0,GEMA)</f>
        <v>350</v>
      </c>
      <c r="BI13" s="25" t="n">
        <f aca="false">IF(BI$4&lt;1,0,GEMA)</f>
        <v>350</v>
      </c>
      <c r="BJ13" s="25" t="n">
        <f aca="false">IF(BJ$4&lt;1,0,GEMA)</f>
        <v>350</v>
      </c>
      <c r="BK13" s="25" t="n">
        <f aca="false">IF(BK$4&lt;1,0,GEMA)</f>
        <v>350</v>
      </c>
      <c r="BL13" s="25" t="n">
        <f aca="false">IF(BL$4&lt;1,0,GEMA)</f>
        <v>350</v>
      </c>
      <c r="BM13" s="25" t="n">
        <f aca="false">IF(BM$4&lt;1,0,GEMA)</f>
        <v>350</v>
      </c>
      <c r="BN13" s="25" t="n">
        <f aca="false">IF(BN$4&lt;1,0,GEMA)</f>
        <v>350</v>
      </c>
      <c r="BO13" s="25" t="n">
        <f aca="false">IF(BO$4&lt;1,0,GEMA)</f>
        <v>350</v>
      </c>
      <c r="BQ13" s="19" t="n">
        <v>1</v>
      </c>
    </row>
    <row r="14" customFormat="false" ht="15" hidden="false" customHeight="false" outlineLevel="0" collapsed="false">
      <c r="B14" s="2" t="s">
        <v>381</v>
      </c>
      <c r="C14" s="25" t="n">
        <f aca="false">IF(C$4&lt;1,0,Software)</f>
        <v>0</v>
      </c>
      <c r="D14" s="25" t="n">
        <f aca="false">IF(D$4&lt;1,0,Software)</f>
        <v>0</v>
      </c>
      <c r="E14" s="25" t="n">
        <f aca="false">IF(E$4&lt;1,0,Software)</f>
        <v>0</v>
      </c>
      <c r="F14" s="25" t="n">
        <f aca="false">IF(F$4&lt;1,0,Software)</f>
        <v>0</v>
      </c>
      <c r="G14" s="25" t="n">
        <f aca="false">IF(G$4&lt;1,0,Software)</f>
        <v>0</v>
      </c>
      <c r="H14" s="25" t="n">
        <f aca="false">IF(H$4&lt;1,0,Software)</f>
        <v>450</v>
      </c>
      <c r="I14" s="25" t="n">
        <f aca="false">IF(I$4&lt;1,0,Software)</f>
        <v>450</v>
      </c>
      <c r="J14" s="25" t="n">
        <f aca="false">IF(J$4&lt;1,0,Software)</f>
        <v>450</v>
      </c>
      <c r="K14" s="25" t="n">
        <f aca="false">IF(K$4&lt;1,0,Software)</f>
        <v>450</v>
      </c>
      <c r="L14" s="25" t="n">
        <f aca="false">IF(L$4&lt;1,0,Software)</f>
        <v>450</v>
      </c>
      <c r="M14" s="25" t="n">
        <f aca="false">IF(M$4&lt;1,0,Software)</f>
        <v>450</v>
      </c>
      <c r="N14" s="25" t="n">
        <f aca="false">IF(N$4&lt;1,0,Software)</f>
        <v>450</v>
      </c>
      <c r="O14" s="25" t="n">
        <f aca="false">IF(O$4&lt;1,0,Software)</f>
        <v>450</v>
      </c>
      <c r="P14" s="25" t="n">
        <f aca="false">IF(P$4&lt;1,0,Software)</f>
        <v>450</v>
      </c>
      <c r="Q14" s="25" t="n">
        <f aca="false">IF(Q$4&lt;1,0,Software)</f>
        <v>450</v>
      </c>
      <c r="R14" s="25" t="n">
        <f aca="false">IF(R$4&lt;1,0,Software)</f>
        <v>450</v>
      </c>
      <c r="S14" s="25" t="n">
        <f aca="false">IF(S$4&lt;1,0,Software)</f>
        <v>450</v>
      </c>
      <c r="T14" s="25" t="n">
        <f aca="false">IF(T$4&lt;1,0,Software)</f>
        <v>450</v>
      </c>
      <c r="U14" s="25" t="n">
        <f aca="false">IF(U$4&lt;1,0,Software)</f>
        <v>450</v>
      </c>
      <c r="V14" s="25" t="n">
        <f aca="false">IF(V$4&lt;1,0,Software)</f>
        <v>450</v>
      </c>
      <c r="W14" s="25" t="n">
        <f aca="false">IF(W$4&lt;1,0,Software)</f>
        <v>450</v>
      </c>
      <c r="X14" s="25" t="n">
        <f aca="false">IF(X$4&lt;1,0,Software)</f>
        <v>450</v>
      </c>
      <c r="Y14" s="25" t="n">
        <f aca="false">IF(Y$4&lt;1,0,Software)</f>
        <v>450</v>
      </c>
      <c r="Z14" s="25" t="n">
        <f aca="false">IF(Z$4&lt;1,0,Software)</f>
        <v>450</v>
      </c>
      <c r="AA14" s="25" t="n">
        <f aca="false">IF(AA$4&lt;1,0,Software)</f>
        <v>450</v>
      </c>
      <c r="AB14" s="25" t="n">
        <f aca="false">IF(AB$4&lt;1,0,Software)</f>
        <v>450</v>
      </c>
      <c r="AC14" s="25" t="n">
        <f aca="false">IF(AC$4&lt;1,0,Software)</f>
        <v>450</v>
      </c>
      <c r="AD14" s="25" t="n">
        <f aca="false">IF(AD$4&lt;1,0,Software)</f>
        <v>450</v>
      </c>
      <c r="AE14" s="25" t="n">
        <f aca="false">IF(AE$4&lt;1,0,Software)</f>
        <v>450</v>
      </c>
      <c r="AF14" s="25" t="n">
        <f aca="false">IF(AF$4&lt;1,0,Software)</f>
        <v>450</v>
      </c>
      <c r="AG14" s="25" t="n">
        <f aca="false">IF(AG$4&lt;1,0,Software)</f>
        <v>450</v>
      </c>
      <c r="AH14" s="25" t="n">
        <f aca="false">IF(AH$4&lt;1,0,Software)</f>
        <v>450</v>
      </c>
      <c r="AI14" s="25" t="n">
        <f aca="false">IF(AI$4&lt;1,0,Software)</f>
        <v>450</v>
      </c>
      <c r="AJ14" s="25" t="n">
        <f aca="false">IF(AJ$4&lt;1,0,Software)</f>
        <v>450</v>
      </c>
      <c r="AK14" s="25" t="n">
        <f aca="false">IF(AK$4&lt;1,0,Software)</f>
        <v>450</v>
      </c>
      <c r="AL14" s="25" t="n">
        <f aca="false">IF(AL$4&lt;1,0,Software)</f>
        <v>450</v>
      </c>
      <c r="AM14" s="25" t="n">
        <f aca="false">IF(AM$4&lt;1,0,Software)</f>
        <v>450</v>
      </c>
      <c r="AN14" s="25" t="n">
        <f aca="false">IF(AN$4&lt;1,0,Software)</f>
        <v>450</v>
      </c>
      <c r="AO14" s="25" t="n">
        <f aca="false">IF(AO$4&lt;1,0,Software)</f>
        <v>450</v>
      </c>
      <c r="AP14" s="25" t="n">
        <f aca="false">IF(AP$4&lt;1,0,Software)</f>
        <v>450</v>
      </c>
      <c r="AQ14" s="25" t="n">
        <f aca="false">IF(AQ$4&lt;1,0,Software)</f>
        <v>450</v>
      </c>
      <c r="AR14" s="25" t="n">
        <f aca="false">IF(AR$4&lt;1,0,Software)</f>
        <v>450</v>
      </c>
      <c r="AS14" s="25" t="n">
        <f aca="false">IF(AS$4&lt;1,0,Software)</f>
        <v>450</v>
      </c>
      <c r="AT14" s="25" t="n">
        <f aca="false">IF(AT$4&lt;1,0,Software)</f>
        <v>450</v>
      </c>
      <c r="AU14" s="25" t="n">
        <f aca="false">IF(AU$4&lt;1,0,Software)</f>
        <v>450</v>
      </c>
      <c r="AV14" s="25" t="n">
        <f aca="false">IF(AV$4&lt;1,0,Software)</f>
        <v>450</v>
      </c>
      <c r="AW14" s="25" t="n">
        <f aca="false">IF(AW$4&lt;1,0,Software)</f>
        <v>450</v>
      </c>
      <c r="AX14" s="25" t="n">
        <f aca="false">IF(AX$4&lt;1,0,Software)</f>
        <v>450</v>
      </c>
      <c r="AY14" s="25" t="n">
        <f aca="false">IF(AY$4&lt;1,0,Software)</f>
        <v>450</v>
      </c>
      <c r="AZ14" s="25" t="n">
        <f aca="false">IF(AZ$4&lt;1,0,Software)</f>
        <v>450</v>
      </c>
      <c r="BA14" s="25" t="n">
        <f aca="false">IF(BA$4&lt;1,0,Software)</f>
        <v>450</v>
      </c>
      <c r="BB14" s="25" t="n">
        <f aca="false">IF(BB$4&lt;1,0,Software)</f>
        <v>450</v>
      </c>
      <c r="BC14" s="25" t="n">
        <f aca="false">IF(BC$4&lt;1,0,Software)</f>
        <v>450</v>
      </c>
      <c r="BD14" s="25" t="n">
        <f aca="false">IF(BD$4&lt;1,0,Software)</f>
        <v>450</v>
      </c>
      <c r="BE14" s="25" t="n">
        <f aca="false">IF(BE$4&lt;1,0,Software)</f>
        <v>450</v>
      </c>
      <c r="BF14" s="25" t="n">
        <f aca="false">IF(BF$4&lt;1,0,Software)</f>
        <v>450</v>
      </c>
      <c r="BG14" s="25" t="n">
        <f aca="false">IF(BG$4&lt;1,0,Software)</f>
        <v>450</v>
      </c>
      <c r="BH14" s="25" t="n">
        <f aca="false">IF(BH$4&lt;1,0,Software)</f>
        <v>450</v>
      </c>
      <c r="BI14" s="25" t="n">
        <f aca="false">IF(BI$4&lt;1,0,Software)</f>
        <v>450</v>
      </c>
      <c r="BJ14" s="25" t="n">
        <f aca="false">IF(BJ$4&lt;1,0,Software)</f>
        <v>450</v>
      </c>
      <c r="BK14" s="25" t="n">
        <f aca="false">IF(BK$4&lt;1,0,Software)</f>
        <v>450</v>
      </c>
      <c r="BL14" s="25" t="n">
        <f aca="false">IF(BL$4&lt;1,0,Software)</f>
        <v>450</v>
      </c>
      <c r="BM14" s="25" t="n">
        <f aca="false">IF(BM$4&lt;1,0,Software)</f>
        <v>450</v>
      </c>
      <c r="BN14" s="25" t="n">
        <f aca="false">IF(BN$4&lt;1,0,Software)</f>
        <v>450</v>
      </c>
      <c r="BO14" s="25" t="n">
        <f aca="false">IF(BO$4&lt;1,0,Software)</f>
        <v>450</v>
      </c>
      <c r="BQ14" s="19" t="n">
        <v>1</v>
      </c>
    </row>
    <row r="15" customFormat="false" ht="15" hidden="false" customHeight="false" outlineLevel="0" collapsed="false">
      <c r="B15" s="2" t="s">
        <v>382</v>
      </c>
      <c r="C15" s="25" t="n">
        <v>0</v>
      </c>
      <c r="D15" s="25" t="n">
        <v>0</v>
      </c>
      <c r="E15" s="25" t="n">
        <v>0</v>
      </c>
      <c r="F15" s="25" t="n">
        <v>0</v>
      </c>
      <c r="G15" s="25" t="n">
        <v>0</v>
      </c>
      <c r="H15" s="25" t="n">
        <f aca="false">Payment_Pct*(Umsatz!C9+Umsatz!C10+Umsatz!C11)*(1+UST)</f>
        <v>219.19156</v>
      </c>
      <c r="I15" s="25" t="n">
        <f aca="false">Payment_Pct*(Umsatz!D9+Umsatz!D10+Umsatz!D11)*(1+UST)</f>
        <v>276.03049768</v>
      </c>
      <c r="J15" s="25" t="n">
        <f aca="false">Payment_Pct*(Umsatz!E9+Umsatz!E10+Umsatz!E11)*(1+UST)</f>
        <v>331.61897873104</v>
      </c>
      <c r="K15" s="25" t="n">
        <f aca="false">Payment_Pct*(Umsatz!F9+Umsatz!F10+Umsatz!F11)*(1+UST)</f>
        <v>366.320513198957</v>
      </c>
      <c r="L15" s="25" t="n">
        <f aca="false">Payment_Pct*(Umsatz!G9+Umsatz!G10+Umsatz!G11)*(1+UST)</f>
        <v>402.30514190858</v>
      </c>
      <c r="M15" s="25" t="n">
        <f aca="false">Payment_Pct*(Umsatz!H9+Umsatz!H10+Umsatz!H11)*(1+UST)</f>
        <v>437.498108786591</v>
      </c>
      <c r="N15" s="25" t="n">
        <f aca="false">Payment_Pct*(Umsatz!I9+Umsatz!I10+Umsatz!I11)*(1+UST)</f>
        <v>471.916830393286</v>
      </c>
      <c r="O15" s="25" t="n">
        <f aca="false">Payment_Pct*(Umsatz!J9+Umsatz!J10+Umsatz!J11)*(1+UST)</f>
        <v>505.578340124634</v>
      </c>
      <c r="P15" s="25" t="n">
        <f aca="false">Payment_Pct*(Umsatz!K9+Umsatz!K10+Umsatz!K11)*(1+UST)</f>
        <v>538.499296641892</v>
      </c>
      <c r="Q15" s="25" t="n">
        <f aca="false">Payment_Pct*(Umsatz!L9+Umsatz!L10+Umsatz!L11)*(1+UST)</f>
        <v>570.695992115771</v>
      </c>
      <c r="R15" s="25" t="n">
        <f aca="false">Payment_Pct*(Umsatz!M9+Umsatz!M10+Umsatz!M11)*(1+UST)</f>
        <v>602.184360289224</v>
      </c>
      <c r="S15" s="25" t="n">
        <f aca="false">Payment_Pct*(Umsatz!N9+Umsatz!N10+Umsatz!N11)*(1+UST)</f>
        <v>632.979984362861</v>
      </c>
      <c r="T15" s="25" t="n">
        <f aca="false">Payment_Pct*(Umsatz!O9+Umsatz!O10+Umsatz!O11)*(1+UST)</f>
        <v>658.182104706878</v>
      </c>
      <c r="U15" s="25" t="n">
        <f aca="false">Payment_Pct*(Umsatz!P9+Umsatz!P10+Umsatz!P11)*(1+UST)</f>
        <v>683.341410403327</v>
      </c>
      <c r="V15" s="25" t="n">
        <f aca="false">Payment_Pct*(Umsatz!Q9+Umsatz!Q10+Umsatz!Q11)*(1+UST)</f>
        <v>707.947211374453</v>
      </c>
      <c r="W15" s="25" t="n">
        <f aca="false">Payment_Pct*(Umsatz!R9+Umsatz!R10+Umsatz!R11)*(1+UST)</f>
        <v>732.011684724215</v>
      </c>
      <c r="X15" s="25" t="n">
        <f aca="false">Payment_Pct*(Umsatz!S9+Umsatz!S10+Umsatz!S11)*(1+UST)</f>
        <v>755.546739660283</v>
      </c>
      <c r="Y15" s="25" t="n">
        <f aca="false">Payment_Pct*(Umsatz!T9+Umsatz!T10+Umsatz!T11)*(1+UST)</f>
        <v>778.564023387756</v>
      </c>
      <c r="Z15" s="25" t="n">
        <f aca="false">Payment_Pct*(Umsatz!U9+Umsatz!U10+Umsatz!U11)*(1+UST)</f>
        <v>801.074926873226</v>
      </c>
      <c r="AA15" s="25" t="n">
        <f aca="false">Payment_Pct*(Umsatz!V9+Umsatz!V10+Umsatz!V11)*(1+UST)</f>
        <v>823.090590482015</v>
      </c>
      <c r="AB15" s="25" t="n">
        <f aca="false">Payment_Pct*(Umsatz!W9+Umsatz!W10+Umsatz!W11)*(1+UST)</f>
        <v>844.62190949141</v>
      </c>
      <c r="AC15" s="25" t="n">
        <f aca="false">Payment_Pct*(Umsatz!X9+Umsatz!X10+Umsatz!X11)*(1+UST)</f>
        <v>865.679539482599</v>
      </c>
      <c r="AD15" s="25" t="n">
        <f aca="false">Payment_Pct*(Umsatz!Y9+Umsatz!Y10+Umsatz!Y11)*(1+UST)</f>
        <v>886.273901613982</v>
      </c>
      <c r="AE15" s="25" t="n">
        <f aca="false">Payment_Pct*(Umsatz!Z9+Umsatz!Z10+Umsatz!Z11)*(1+UST)</f>
        <v>906.415187778475</v>
      </c>
      <c r="AF15" s="25" t="n">
        <f aca="false">Payment_Pct*(Umsatz!AA9+Umsatz!AA10+Umsatz!AA11)*(1+UST)</f>
        <v>937.807735845217</v>
      </c>
      <c r="AG15" s="25" t="n">
        <f aca="false">Payment_Pct*(Umsatz!AB9+Umsatz!AB10+Umsatz!AB11)*(1+UST)</f>
        <v>953.052829656623</v>
      </c>
      <c r="AH15" s="25" t="n">
        <f aca="false">Payment_Pct*(Umsatz!AC9+Umsatz!AC10+Umsatz!AC11)*(1+UST)</f>
        <v>967.962531404177</v>
      </c>
      <c r="AI15" s="25" t="n">
        <f aca="false">Payment_Pct*(Umsatz!AD9+Umsatz!AD10+Umsatz!AD11)*(1+UST)</f>
        <v>982.544219713285</v>
      </c>
      <c r="AJ15" s="25" t="n">
        <f aca="false">Payment_Pct*(Umsatz!AE9+Umsatz!AE10+Umsatz!AE11)*(1+UST)</f>
        <v>992.519386288975</v>
      </c>
      <c r="AK15" s="25" t="n">
        <f aca="false">Payment_Pct*(Umsatz!AF9+Umsatz!AF10+Umsatz!AF11)*(1+UST)</f>
        <v>995.2848</v>
      </c>
      <c r="AL15" s="25" t="n">
        <f aca="false">Payment_Pct*(Umsatz!AG9+Umsatz!AG10+Umsatz!AG11)*(1+UST)</f>
        <v>995.2848</v>
      </c>
      <c r="AM15" s="25" t="n">
        <f aca="false">Payment_Pct*(Umsatz!AH9+Umsatz!AH10+Umsatz!AH11)*(1+UST)</f>
        <v>995.2848</v>
      </c>
      <c r="AN15" s="25" t="n">
        <f aca="false">Payment_Pct*(Umsatz!AI9+Umsatz!AI10+Umsatz!AI11)*(1+UST)</f>
        <v>995.2848</v>
      </c>
      <c r="AO15" s="25" t="n">
        <f aca="false">Payment_Pct*(Umsatz!AJ9+Umsatz!AJ10+Umsatz!AJ11)*(1+UST)</f>
        <v>995.2848</v>
      </c>
      <c r="AP15" s="25" t="n">
        <f aca="false">Payment_Pct*(Umsatz!AK9+Umsatz!AK10+Umsatz!AK11)*(1+UST)</f>
        <v>995.2848</v>
      </c>
      <c r="AQ15" s="25" t="n">
        <f aca="false">Payment_Pct*(Umsatz!AL9+Umsatz!AL10+Umsatz!AL11)*(1+UST)</f>
        <v>995.2848</v>
      </c>
      <c r="AR15" s="25" t="n">
        <f aca="false">Payment_Pct*(Umsatz!AM9+Umsatz!AM10+Umsatz!AM11)*(1+UST)</f>
        <v>1011.918656</v>
      </c>
      <c r="AS15" s="25" t="n">
        <f aca="false">Payment_Pct*(Umsatz!AN9+Umsatz!AN10+Umsatz!AN11)*(1+UST)</f>
        <v>1011.918656</v>
      </c>
      <c r="AT15" s="25" t="n">
        <f aca="false">Payment_Pct*(Umsatz!AO9+Umsatz!AO10+Umsatz!AO11)*(1+UST)</f>
        <v>1011.918656</v>
      </c>
      <c r="AU15" s="25" t="n">
        <f aca="false">Payment_Pct*(Umsatz!AP9+Umsatz!AP10+Umsatz!AP11)*(1+UST)</f>
        <v>1011.918656</v>
      </c>
      <c r="AV15" s="25" t="n">
        <f aca="false">Payment_Pct*(Umsatz!AQ9+Umsatz!AQ10+Umsatz!AQ11)*(1+UST)</f>
        <v>1011.918656</v>
      </c>
      <c r="AW15" s="25" t="n">
        <f aca="false">Payment_Pct*(Umsatz!AR9+Umsatz!AR10+Umsatz!AR11)*(1+UST)</f>
        <v>1011.918656</v>
      </c>
      <c r="AX15" s="25" t="n">
        <f aca="false">Payment_Pct*(Umsatz!AS9+Umsatz!AS10+Umsatz!AS11)*(1+UST)</f>
        <v>1011.918656</v>
      </c>
      <c r="AY15" s="25" t="n">
        <f aca="false">Payment_Pct*(Umsatz!AT9+Umsatz!AT10+Umsatz!AT11)*(1+UST)</f>
        <v>1011.918656</v>
      </c>
      <c r="AZ15" s="25" t="n">
        <f aca="false">Payment_Pct*(Umsatz!AU9+Umsatz!AU10+Umsatz!AU11)*(1+UST)</f>
        <v>1011.918656</v>
      </c>
      <c r="BA15" s="25" t="n">
        <f aca="false">Payment_Pct*(Umsatz!AV9+Umsatz!AV10+Umsatz!AV11)*(1+UST)</f>
        <v>1011.918656</v>
      </c>
      <c r="BB15" s="25" t="n">
        <f aca="false">Payment_Pct*(Umsatz!AW9+Umsatz!AW10+Umsatz!AW11)*(1+UST)</f>
        <v>1011.918656</v>
      </c>
      <c r="BC15" s="25" t="n">
        <f aca="false">Payment_Pct*(Umsatz!AX9+Umsatz!AX10+Umsatz!AX11)*(1+UST)</f>
        <v>1011.918656</v>
      </c>
      <c r="BD15" s="25" t="n">
        <f aca="false">Payment_Pct*(Umsatz!AY9+Umsatz!AY10+Umsatz!AY11)*(1+UST)</f>
        <v>1030.28462912</v>
      </c>
      <c r="BE15" s="25" t="n">
        <f aca="false">Payment_Pct*(Umsatz!AZ9+Umsatz!AZ10+Umsatz!AZ11)*(1+UST)</f>
        <v>1030.28462912</v>
      </c>
      <c r="BF15" s="25" t="n">
        <f aca="false">Payment_Pct*(Umsatz!BA9+Umsatz!BA10+Umsatz!BA11)*(1+UST)</f>
        <v>1030.28462912</v>
      </c>
      <c r="BG15" s="25" t="n">
        <f aca="false">Payment_Pct*(Umsatz!BB9+Umsatz!BB10+Umsatz!BB11)*(1+UST)</f>
        <v>1030.28462912</v>
      </c>
      <c r="BH15" s="25" t="n">
        <f aca="false">Payment_Pct*(Umsatz!BC9+Umsatz!BC10+Umsatz!BC11)*(1+UST)</f>
        <v>1030.28462912</v>
      </c>
      <c r="BI15" s="25" t="n">
        <f aca="false">Payment_Pct*(Umsatz!BD9+Umsatz!BD10+Umsatz!BD11)*(1+UST)</f>
        <v>1030.28462912</v>
      </c>
      <c r="BJ15" s="25" t="n">
        <f aca="false">Payment_Pct*(Umsatz!BE9+Umsatz!BE10+Umsatz!BE11)*(1+UST)</f>
        <v>1030.28462912</v>
      </c>
      <c r="BK15" s="25" t="n">
        <f aca="false">Payment_Pct*(Umsatz!BF9+Umsatz!BF10+Umsatz!BF11)*(1+UST)</f>
        <v>1030.28462912</v>
      </c>
      <c r="BL15" s="25" t="n">
        <f aca="false">Payment_Pct*(Umsatz!BG9+Umsatz!BG10+Umsatz!BG11)*(1+UST)</f>
        <v>1030.28462912</v>
      </c>
      <c r="BM15" s="25" t="n">
        <f aca="false">Payment_Pct*(Umsatz!BH9+Umsatz!BH10+Umsatz!BH11)*(1+UST)</f>
        <v>1030.28462912</v>
      </c>
      <c r="BN15" s="25" t="n">
        <f aca="false">Payment_Pct*(Umsatz!BI9+Umsatz!BI10+Umsatz!BI11)*(1+UST)</f>
        <v>1030.28462912</v>
      </c>
      <c r="BO15" s="25" t="n">
        <f aca="false">Payment_Pct*(Umsatz!BJ9+Umsatz!BJ10+Umsatz!BJ11)*(1+UST)</f>
        <v>1030.28462912</v>
      </c>
      <c r="BQ15" s="19" t="n">
        <v>0</v>
      </c>
    </row>
    <row r="16" customFormat="false" ht="15" hidden="false" customHeight="false" outlineLevel="0" collapsed="false">
      <c r="B16" s="2" t="s">
        <v>383</v>
      </c>
      <c r="C16" s="25" t="n">
        <f aca="false">IF(C$4+Vorlauf&gt;=1,StB,0)</f>
        <v>0</v>
      </c>
      <c r="D16" s="25" t="n">
        <f aca="false">IF(D$4+Vorlauf&gt;=1,StB,0)</f>
        <v>1000</v>
      </c>
      <c r="E16" s="25" t="n">
        <f aca="false">IF(E$4+Vorlauf&gt;=1,StB,0)</f>
        <v>1000</v>
      </c>
      <c r="F16" s="25" t="n">
        <f aca="false">IF(F$4+Vorlauf&gt;=1,StB,0)</f>
        <v>1000</v>
      </c>
      <c r="G16" s="25" t="n">
        <f aca="false">IF(G$4+Vorlauf&gt;=1,StB,0)</f>
        <v>1000</v>
      </c>
      <c r="H16" s="25" t="n">
        <f aca="false">IF(H$4+Vorlauf&gt;=1,StB,0)</f>
        <v>1000</v>
      </c>
      <c r="I16" s="25" t="n">
        <f aca="false">IF(I$4+Vorlauf&gt;=1,StB,0)</f>
        <v>1000</v>
      </c>
      <c r="J16" s="25" t="n">
        <f aca="false">IF(J$4+Vorlauf&gt;=1,StB,0)</f>
        <v>1000</v>
      </c>
      <c r="K16" s="25" t="n">
        <f aca="false">IF(K$4+Vorlauf&gt;=1,StB,0)</f>
        <v>1000</v>
      </c>
      <c r="L16" s="25" t="n">
        <f aca="false">IF(L$4+Vorlauf&gt;=1,StB,0)</f>
        <v>1000</v>
      </c>
      <c r="M16" s="25" t="n">
        <f aca="false">IF(M$4+Vorlauf&gt;=1,StB,0)</f>
        <v>1000</v>
      </c>
      <c r="N16" s="25" t="n">
        <f aca="false">IF(N$4+Vorlauf&gt;=1,StB,0)</f>
        <v>1000</v>
      </c>
      <c r="O16" s="25" t="n">
        <f aca="false">IF(O$4+Vorlauf&gt;=1,StB,0)</f>
        <v>1000</v>
      </c>
      <c r="P16" s="25" t="n">
        <f aca="false">IF(P$4+Vorlauf&gt;=1,StB,0)</f>
        <v>1000</v>
      </c>
      <c r="Q16" s="25" t="n">
        <f aca="false">IF(Q$4+Vorlauf&gt;=1,StB,0)</f>
        <v>1000</v>
      </c>
      <c r="R16" s="25" t="n">
        <f aca="false">IF(R$4+Vorlauf&gt;=1,StB,0)</f>
        <v>1000</v>
      </c>
      <c r="S16" s="25" t="n">
        <f aca="false">IF(S$4+Vorlauf&gt;=1,StB,0)</f>
        <v>1000</v>
      </c>
      <c r="T16" s="25" t="n">
        <f aca="false">IF(T$4+Vorlauf&gt;=1,StB,0)</f>
        <v>1000</v>
      </c>
      <c r="U16" s="25" t="n">
        <f aca="false">IF(U$4+Vorlauf&gt;=1,StB,0)</f>
        <v>1000</v>
      </c>
      <c r="V16" s="25" t="n">
        <f aca="false">IF(V$4+Vorlauf&gt;=1,StB,0)</f>
        <v>1000</v>
      </c>
      <c r="W16" s="25" t="n">
        <f aca="false">IF(W$4+Vorlauf&gt;=1,StB,0)</f>
        <v>1000</v>
      </c>
      <c r="X16" s="25" t="n">
        <f aca="false">IF(X$4+Vorlauf&gt;=1,StB,0)</f>
        <v>1000</v>
      </c>
      <c r="Y16" s="25" t="n">
        <f aca="false">IF(Y$4+Vorlauf&gt;=1,StB,0)</f>
        <v>1000</v>
      </c>
      <c r="Z16" s="25" t="n">
        <f aca="false">IF(Z$4+Vorlauf&gt;=1,StB,0)</f>
        <v>1000</v>
      </c>
      <c r="AA16" s="25" t="n">
        <f aca="false">IF(AA$4+Vorlauf&gt;=1,StB,0)</f>
        <v>1000</v>
      </c>
      <c r="AB16" s="25" t="n">
        <f aca="false">IF(AB$4+Vorlauf&gt;=1,StB,0)</f>
        <v>1000</v>
      </c>
      <c r="AC16" s="25" t="n">
        <f aca="false">IF(AC$4+Vorlauf&gt;=1,StB,0)</f>
        <v>1000</v>
      </c>
      <c r="AD16" s="25" t="n">
        <f aca="false">IF(AD$4+Vorlauf&gt;=1,StB,0)</f>
        <v>1000</v>
      </c>
      <c r="AE16" s="25" t="n">
        <f aca="false">IF(AE$4+Vorlauf&gt;=1,StB,0)</f>
        <v>1000</v>
      </c>
      <c r="AF16" s="25" t="n">
        <f aca="false">IF(AF$4+Vorlauf&gt;=1,StB,0)</f>
        <v>1000</v>
      </c>
      <c r="AG16" s="25" t="n">
        <f aca="false">IF(AG$4+Vorlauf&gt;=1,StB,0)</f>
        <v>1000</v>
      </c>
      <c r="AH16" s="25" t="n">
        <f aca="false">IF(AH$4+Vorlauf&gt;=1,StB,0)</f>
        <v>1000</v>
      </c>
      <c r="AI16" s="25" t="n">
        <f aca="false">IF(AI$4+Vorlauf&gt;=1,StB,0)</f>
        <v>1000</v>
      </c>
      <c r="AJ16" s="25" t="n">
        <f aca="false">IF(AJ$4+Vorlauf&gt;=1,StB,0)</f>
        <v>1000</v>
      </c>
      <c r="AK16" s="25" t="n">
        <f aca="false">IF(AK$4+Vorlauf&gt;=1,StB,0)</f>
        <v>1000</v>
      </c>
      <c r="AL16" s="25" t="n">
        <f aca="false">IF(AL$4+Vorlauf&gt;=1,StB,0)</f>
        <v>1000</v>
      </c>
      <c r="AM16" s="25" t="n">
        <f aca="false">IF(AM$4+Vorlauf&gt;=1,StB,0)</f>
        <v>1000</v>
      </c>
      <c r="AN16" s="25" t="n">
        <f aca="false">IF(AN$4+Vorlauf&gt;=1,StB,0)</f>
        <v>1000</v>
      </c>
      <c r="AO16" s="25" t="n">
        <f aca="false">IF(AO$4+Vorlauf&gt;=1,StB,0)</f>
        <v>1000</v>
      </c>
      <c r="AP16" s="25" t="n">
        <f aca="false">IF(AP$4+Vorlauf&gt;=1,StB,0)</f>
        <v>1000</v>
      </c>
      <c r="AQ16" s="25" t="n">
        <f aca="false">IF(AQ$4+Vorlauf&gt;=1,StB,0)</f>
        <v>1000</v>
      </c>
      <c r="AR16" s="25" t="n">
        <f aca="false">IF(AR$4+Vorlauf&gt;=1,StB,0)</f>
        <v>1000</v>
      </c>
      <c r="AS16" s="25" t="n">
        <f aca="false">IF(AS$4+Vorlauf&gt;=1,StB,0)</f>
        <v>1000</v>
      </c>
      <c r="AT16" s="25" t="n">
        <f aca="false">IF(AT$4+Vorlauf&gt;=1,StB,0)</f>
        <v>1000</v>
      </c>
      <c r="AU16" s="25" t="n">
        <f aca="false">IF(AU$4+Vorlauf&gt;=1,StB,0)</f>
        <v>1000</v>
      </c>
      <c r="AV16" s="25" t="n">
        <f aca="false">IF(AV$4+Vorlauf&gt;=1,StB,0)</f>
        <v>1000</v>
      </c>
      <c r="AW16" s="25" t="n">
        <f aca="false">IF(AW$4+Vorlauf&gt;=1,StB,0)</f>
        <v>1000</v>
      </c>
      <c r="AX16" s="25" t="n">
        <f aca="false">IF(AX$4+Vorlauf&gt;=1,StB,0)</f>
        <v>1000</v>
      </c>
      <c r="AY16" s="25" t="n">
        <f aca="false">IF(AY$4+Vorlauf&gt;=1,StB,0)</f>
        <v>1000</v>
      </c>
      <c r="AZ16" s="25" t="n">
        <f aca="false">IF(AZ$4+Vorlauf&gt;=1,StB,0)</f>
        <v>1000</v>
      </c>
      <c r="BA16" s="25" t="n">
        <f aca="false">IF(BA$4+Vorlauf&gt;=1,StB,0)</f>
        <v>1000</v>
      </c>
      <c r="BB16" s="25" t="n">
        <f aca="false">IF(BB$4+Vorlauf&gt;=1,StB,0)</f>
        <v>1000</v>
      </c>
      <c r="BC16" s="25" t="n">
        <f aca="false">IF(BC$4+Vorlauf&gt;=1,StB,0)</f>
        <v>1000</v>
      </c>
      <c r="BD16" s="25" t="n">
        <f aca="false">IF(BD$4+Vorlauf&gt;=1,StB,0)</f>
        <v>1000</v>
      </c>
      <c r="BE16" s="25" t="n">
        <f aca="false">IF(BE$4+Vorlauf&gt;=1,StB,0)</f>
        <v>1000</v>
      </c>
      <c r="BF16" s="25" t="n">
        <f aca="false">IF(BF$4+Vorlauf&gt;=1,StB,0)</f>
        <v>1000</v>
      </c>
      <c r="BG16" s="25" t="n">
        <f aca="false">IF(BG$4+Vorlauf&gt;=1,StB,0)</f>
        <v>1000</v>
      </c>
      <c r="BH16" s="25" t="n">
        <f aca="false">IF(BH$4+Vorlauf&gt;=1,StB,0)</f>
        <v>1000</v>
      </c>
      <c r="BI16" s="25" t="n">
        <f aca="false">IF(BI$4+Vorlauf&gt;=1,StB,0)</f>
        <v>1000</v>
      </c>
      <c r="BJ16" s="25" t="n">
        <f aca="false">IF(BJ$4+Vorlauf&gt;=1,StB,0)</f>
        <v>1000</v>
      </c>
      <c r="BK16" s="25" t="n">
        <f aca="false">IF(BK$4+Vorlauf&gt;=1,StB,0)</f>
        <v>1000</v>
      </c>
      <c r="BL16" s="25" t="n">
        <f aca="false">IF(BL$4+Vorlauf&gt;=1,StB,0)</f>
        <v>1000</v>
      </c>
      <c r="BM16" s="25" t="n">
        <f aca="false">IF(BM$4+Vorlauf&gt;=1,StB,0)</f>
        <v>1000</v>
      </c>
      <c r="BN16" s="25" t="n">
        <f aca="false">IF(BN$4+Vorlauf&gt;=1,StB,0)</f>
        <v>1000</v>
      </c>
      <c r="BO16" s="25" t="n">
        <f aca="false">IF(BO$4+Vorlauf&gt;=1,StB,0)</f>
        <v>1000</v>
      </c>
      <c r="BQ16" s="19" t="n">
        <v>1</v>
      </c>
    </row>
    <row r="17" customFormat="false" ht="15" hidden="false" customHeight="false" outlineLevel="0" collapsed="false">
      <c r="B17" s="2" t="s">
        <v>384</v>
      </c>
      <c r="C17" s="25" t="n">
        <f aca="false">IF(C$4&lt;1,0,Reinigung)</f>
        <v>0</v>
      </c>
      <c r="D17" s="25" t="n">
        <f aca="false">IF(D$4&lt;1,0,Reinigung)</f>
        <v>0</v>
      </c>
      <c r="E17" s="25" t="n">
        <f aca="false">IF(E$4&lt;1,0,Reinigung)</f>
        <v>0</v>
      </c>
      <c r="F17" s="25" t="n">
        <f aca="false">IF(F$4&lt;1,0,Reinigung)</f>
        <v>0</v>
      </c>
      <c r="G17" s="25" t="n">
        <f aca="false">IF(G$4&lt;1,0,Reinigung)</f>
        <v>0</v>
      </c>
      <c r="H17" s="25" t="n">
        <f aca="false">IF(H$4&lt;1,0,Reinigung)</f>
        <v>2200</v>
      </c>
      <c r="I17" s="25" t="n">
        <f aca="false">IF(I$4&lt;1,0,Reinigung)</f>
        <v>2200</v>
      </c>
      <c r="J17" s="25" t="n">
        <f aca="false">IF(J$4&lt;1,0,Reinigung)</f>
        <v>2200</v>
      </c>
      <c r="K17" s="25" t="n">
        <f aca="false">IF(K$4&lt;1,0,Reinigung)</f>
        <v>2200</v>
      </c>
      <c r="L17" s="25" t="n">
        <f aca="false">IF(L$4&lt;1,0,Reinigung)</f>
        <v>2200</v>
      </c>
      <c r="M17" s="25" t="n">
        <f aca="false">IF(M$4&lt;1,0,Reinigung)</f>
        <v>2200</v>
      </c>
      <c r="N17" s="25" t="n">
        <f aca="false">IF(N$4&lt;1,0,Reinigung)</f>
        <v>2200</v>
      </c>
      <c r="O17" s="25" t="n">
        <f aca="false">IF(O$4&lt;1,0,Reinigung)</f>
        <v>2200</v>
      </c>
      <c r="P17" s="25" t="n">
        <f aca="false">IF(P$4&lt;1,0,Reinigung)</f>
        <v>2200</v>
      </c>
      <c r="Q17" s="25" t="n">
        <f aca="false">IF(Q$4&lt;1,0,Reinigung)</f>
        <v>2200</v>
      </c>
      <c r="R17" s="25" t="n">
        <f aca="false">IF(R$4&lt;1,0,Reinigung)</f>
        <v>2200</v>
      </c>
      <c r="S17" s="25" t="n">
        <f aca="false">IF(S$4&lt;1,0,Reinigung)</f>
        <v>2200</v>
      </c>
      <c r="T17" s="25" t="n">
        <f aca="false">IF(T$4&lt;1,0,Reinigung)</f>
        <v>2200</v>
      </c>
      <c r="U17" s="25" t="n">
        <f aca="false">IF(U$4&lt;1,0,Reinigung)</f>
        <v>2200</v>
      </c>
      <c r="V17" s="25" t="n">
        <f aca="false">IF(V$4&lt;1,0,Reinigung)</f>
        <v>2200</v>
      </c>
      <c r="W17" s="25" t="n">
        <f aca="false">IF(W$4&lt;1,0,Reinigung)</f>
        <v>2200</v>
      </c>
      <c r="X17" s="25" t="n">
        <f aca="false">IF(X$4&lt;1,0,Reinigung)</f>
        <v>2200</v>
      </c>
      <c r="Y17" s="25" t="n">
        <f aca="false">IF(Y$4&lt;1,0,Reinigung)</f>
        <v>2200</v>
      </c>
      <c r="Z17" s="25" t="n">
        <f aca="false">IF(Z$4&lt;1,0,Reinigung)</f>
        <v>2200</v>
      </c>
      <c r="AA17" s="25" t="n">
        <f aca="false">IF(AA$4&lt;1,0,Reinigung)</f>
        <v>2200</v>
      </c>
      <c r="AB17" s="25" t="n">
        <f aca="false">IF(AB$4&lt;1,0,Reinigung)</f>
        <v>2200</v>
      </c>
      <c r="AC17" s="25" t="n">
        <f aca="false">IF(AC$4&lt;1,0,Reinigung)</f>
        <v>2200</v>
      </c>
      <c r="AD17" s="25" t="n">
        <f aca="false">IF(AD$4&lt;1,0,Reinigung)</f>
        <v>2200</v>
      </c>
      <c r="AE17" s="25" t="n">
        <f aca="false">IF(AE$4&lt;1,0,Reinigung)</f>
        <v>2200</v>
      </c>
      <c r="AF17" s="25" t="n">
        <f aca="false">IF(AF$4&lt;1,0,Reinigung)</f>
        <v>2200</v>
      </c>
      <c r="AG17" s="25" t="n">
        <f aca="false">IF(AG$4&lt;1,0,Reinigung)</f>
        <v>2200</v>
      </c>
      <c r="AH17" s="25" t="n">
        <f aca="false">IF(AH$4&lt;1,0,Reinigung)</f>
        <v>2200</v>
      </c>
      <c r="AI17" s="25" t="n">
        <f aca="false">IF(AI$4&lt;1,0,Reinigung)</f>
        <v>2200</v>
      </c>
      <c r="AJ17" s="25" t="n">
        <f aca="false">IF(AJ$4&lt;1,0,Reinigung)</f>
        <v>2200</v>
      </c>
      <c r="AK17" s="25" t="n">
        <f aca="false">IF(AK$4&lt;1,0,Reinigung)</f>
        <v>2200</v>
      </c>
      <c r="AL17" s="25" t="n">
        <f aca="false">IF(AL$4&lt;1,0,Reinigung)</f>
        <v>2200</v>
      </c>
      <c r="AM17" s="25" t="n">
        <f aca="false">IF(AM$4&lt;1,0,Reinigung)</f>
        <v>2200</v>
      </c>
      <c r="AN17" s="25" t="n">
        <f aca="false">IF(AN$4&lt;1,0,Reinigung)</f>
        <v>2200</v>
      </c>
      <c r="AO17" s="25" t="n">
        <f aca="false">IF(AO$4&lt;1,0,Reinigung)</f>
        <v>2200</v>
      </c>
      <c r="AP17" s="25" t="n">
        <f aca="false">IF(AP$4&lt;1,0,Reinigung)</f>
        <v>2200</v>
      </c>
      <c r="AQ17" s="25" t="n">
        <f aca="false">IF(AQ$4&lt;1,0,Reinigung)</f>
        <v>2200</v>
      </c>
      <c r="AR17" s="25" t="n">
        <f aca="false">IF(AR$4&lt;1,0,Reinigung)</f>
        <v>2200</v>
      </c>
      <c r="AS17" s="25" t="n">
        <f aca="false">IF(AS$4&lt;1,0,Reinigung)</f>
        <v>2200</v>
      </c>
      <c r="AT17" s="25" t="n">
        <f aca="false">IF(AT$4&lt;1,0,Reinigung)</f>
        <v>2200</v>
      </c>
      <c r="AU17" s="25" t="n">
        <f aca="false">IF(AU$4&lt;1,0,Reinigung)</f>
        <v>2200</v>
      </c>
      <c r="AV17" s="25" t="n">
        <f aca="false">IF(AV$4&lt;1,0,Reinigung)</f>
        <v>2200</v>
      </c>
      <c r="AW17" s="25" t="n">
        <f aca="false">IF(AW$4&lt;1,0,Reinigung)</f>
        <v>2200</v>
      </c>
      <c r="AX17" s="25" t="n">
        <f aca="false">IF(AX$4&lt;1,0,Reinigung)</f>
        <v>2200</v>
      </c>
      <c r="AY17" s="25" t="n">
        <f aca="false">IF(AY$4&lt;1,0,Reinigung)</f>
        <v>2200</v>
      </c>
      <c r="AZ17" s="25" t="n">
        <f aca="false">IF(AZ$4&lt;1,0,Reinigung)</f>
        <v>2200</v>
      </c>
      <c r="BA17" s="25" t="n">
        <f aca="false">IF(BA$4&lt;1,0,Reinigung)</f>
        <v>2200</v>
      </c>
      <c r="BB17" s="25" t="n">
        <f aca="false">IF(BB$4&lt;1,0,Reinigung)</f>
        <v>2200</v>
      </c>
      <c r="BC17" s="25" t="n">
        <f aca="false">IF(BC$4&lt;1,0,Reinigung)</f>
        <v>2200</v>
      </c>
      <c r="BD17" s="25" t="n">
        <f aca="false">IF(BD$4&lt;1,0,Reinigung)</f>
        <v>2200</v>
      </c>
      <c r="BE17" s="25" t="n">
        <f aca="false">IF(BE$4&lt;1,0,Reinigung)</f>
        <v>2200</v>
      </c>
      <c r="BF17" s="25" t="n">
        <f aca="false">IF(BF$4&lt;1,0,Reinigung)</f>
        <v>2200</v>
      </c>
      <c r="BG17" s="25" t="n">
        <f aca="false">IF(BG$4&lt;1,0,Reinigung)</f>
        <v>2200</v>
      </c>
      <c r="BH17" s="25" t="n">
        <f aca="false">IF(BH$4&lt;1,0,Reinigung)</f>
        <v>2200</v>
      </c>
      <c r="BI17" s="25" t="n">
        <f aca="false">IF(BI$4&lt;1,0,Reinigung)</f>
        <v>2200</v>
      </c>
      <c r="BJ17" s="25" t="n">
        <f aca="false">IF(BJ$4&lt;1,0,Reinigung)</f>
        <v>2200</v>
      </c>
      <c r="BK17" s="25" t="n">
        <f aca="false">IF(BK$4&lt;1,0,Reinigung)</f>
        <v>2200</v>
      </c>
      <c r="BL17" s="25" t="n">
        <f aca="false">IF(BL$4&lt;1,0,Reinigung)</f>
        <v>2200</v>
      </c>
      <c r="BM17" s="25" t="n">
        <f aca="false">IF(BM$4&lt;1,0,Reinigung)</f>
        <v>2200</v>
      </c>
      <c r="BN17" s="25" t="n">
        <f aca="false">IF(BN$4&lt;1,0,Reinigung)</f>
        <v>2200</v>
      </c>
      <c r="BO17" s="25" t="n">
        <f aca="false">IF(BO$4&lt;1,0,Reinigung)</f>
        <v>2200</v>
      </c>
      <c r="BQ17" s="19" t="n">
        <v>1</v>
      </c>
    </row>
    <row r="18" customFormat="false" ht="15" hidden="false" customHeight="false" outlineLevel="0" collapsed="false">
      <c r="B18" s="2" t="s">
        <v>385</v>
      </c>
      <c r="C18" s="25" t="n">
        <f aca="false">IF(C$4&lt;1,0,Telko)</f>
        <v>0</v>
      </c>
      <c r="D18" s="25" t="n">
        <f aca="false">IF(D$4&lt;1,0,Telko)</f>
        <v>0</v>
      </c>
      <c r="E18" s="25" t="n">
        <f aca="false">IF(E$4&lt;1,0,Telko)</f>
        <v>0</v>
      </c>
      <c r="F18" s="25" t="n">
        <f aca="false">IF(F$4&lt;1,0,Telko)</f>
        <v>0</v>
      </c>
      <c r="G18" s="25" t="n">
        <f aca="false">IF(G$4&lt;1,0,Telko)</f>
        <v>0</v>
      </c>
      <c r="H18" s="25" t="n">
        <f aca="false">IF(H$4&lt;1,0,Telko)</f>
        <v>250</v>
      </c>
      <c r="I18" s="25" t="n">
        <f aca="false">IF(I$4&lt;1,0,Telko)</f>
        <v>250</v>
      </c>
      <c r="J18" s="25" t="n">
        <f aca="false">IF(J$4&lt;1,0,Telko)</f>
        <v>250</v>
      </c>
      <c r="K18" s="25" t="n">
        <f aca="false">IF(K$4&lt;1,0,Telko)</f>
        <v>250</v>
      </c>
      <c r="L18" s="25" t="n">
        <f aca="false">IF(L$4&lt;1,0,Telko)</f>
        <v>250</v>
      </c>
      <c r="M18" s="25" t="n">
        <f aca="false">IF(M$4&lt;1,0,Telko)</f>
        <v>250</v>
      </c>
      <c r="N18" s="25" t="n">
        <f aca="false">IF(N$4&lt;1,0,Telko)</f>
        <v>250</v>
      </c>
      <c r="O18" s="25" t="n">
        <f aca="false">IF(O$4&lt;1,0,Telko)</f>
        <v>250</v>
      </c>
      <c r="P18" s="25" t="n">
        <f aca="false">IF(P$4&lt;1,0,Telko)</f>
        <v>250</v>
      </c>
      <c r="Q18" s="25" t="n">
        <f aca="false">IF(Q$4&lt;1,0,Telko)</f>
        <v>250</v>
      </c>
      <c r="R18" s="25" t="n">
        <f aca="false">IF(R$4&lt;1,0,Telko)</f>
        <v>250</v>
      </c>
      <c r="S18" s="25" t="n">
        <f aca="false">IF(S$4&lt;1,0,Telko)</f>
        <v>250</v>
      </c>
      <c r="T18" s="25" t="n">
        <f aca="false">IF(T$4&lt;1,0,Telko)</f>
        <v>250</v>
      </c>
      <c r="U18" s="25" t="n">
        <f aca="false">IF(U$4&lt;1,0,Telko)</f>
        <v>250</v>
      </c>
      <c r="V18" s="25" t="n">
        <f aca="false">IF(V$4&lt;1,0,Telko)</f>
        <v>250</v>
      </c>
      <c r="W18" s="25" t="n">
        <f aca="false">IF(W$4&lt;1,0,Telko)</f>
        <v>250</v>
      </c>
      <c r="X18" s="25" t="n">
        <f aca="false">IF(X$4&lt;1,0,Telko)</f>
        <v>250</v>
      </c>
      <c r="Y18" s="25" t="n">
        <f aca="false">IF(Y$4&lt;1,0,Telko)</f>
        <v>250</v>
      </c>
      <c r="Z18" s="25" t="n">
        <f aca="false">IF(Z$4&lt;1,0,Telko)</f>
        <v>250</v>
      </c>
      <c r="AA18" s="25" t="n">
        <f aca="false">IF(AA$4&lt;1,0,Telko)</f>
        <v>250</v>
      </c>
      <c r="AB18" s="25" t="n">
        <f aca="false">IF(AB$4&lt;1,0,Telko)</f>
        <v>250</v>
      </c>
      <c r="AC18" s="25" t="n">
        <f aca="false">IF(AC$4&lt;1,0,Telko)</f>
        <v>250</v>
      </c>
      <c r="AD18" s="25" t="n">
        <f aca="false">IF(AD$4&lt;1,0,Telko)</f>
        <v>250</v>
      </c>
      <c r="AE18" s="25" t="n">
        <f aca="false">IF(AE$4&lt;1,0,Telko)</f>
        <v>250</v>
      </c>
      <c r="AF18" s="25" t="n">
        <f aca="false">IF(AF$4&lt;1,0,Telko)</f>
        <v>250</v>
      </c>
      <c r="AG18" s="25" t="n">
        <f aca="false">IF(AG$4&lt;1,0,Telko)</f>
        <v>250</v>
      </c>
      <c r="AH18" s="25" t="n">
        <f aca="false">IF(AH$4&lt;1,0,Telko)</f>
        <v>250</v>
      </c>
      <c r="AI18" s="25" t="n">
        <f aca="false">IF(AI$4&lt;1,0,Telko)</f>
        <v>250</v>
      </c>
      <c r="AJ18" s="25" t="n">
        <f aca="false">IF(AJ$4&lt;1,0,Telko)</f>
        <v>250</v>
      </c>
      <c r="AK18" s="25" t="n">
        <f aca="false">IF(AK$4&lt;1,0,Telko)</f>
        <v>250</v>
      </c>
      <c r="AL18" s="25" t="n">
        <f aca="false">IF(AL$4&lt;1,0,Telko)</f>
        <v>250</v>
      </c>
      <c r="AM18" s="25" t="n">
        <f aca="false">IF(AM$4&lt;1,0,Telko)</f>
        <v>250</v>
      </c>
      <c r="AN18" s="25" t="n">
        <f aca="false">IF(AN$4&lt;1,0,Telko)</f>
        <v>250</v>
      </c>
      <c r="AO18" s="25" t="n">
        <f aca="false">IF(AO$4&lt;1,0,Telko)</f>
        <v>250</v>
      </c>
      <c r="AP18" s="25" t="n">
        <f aca="false">IF(AP$4&lt;1,0,Telko)</f>
        <v>250</v>
      </c>
      <c r="AQ18" s="25" t="n">
        <f aca="false">IF(AQ$4&lt;1,0,Telko)</f>
        <v>250</v>
      </c>
      <c r="AR18" s="25" t="n">
        <f aca="false">IF(AR$4&lt;1,0,Telko)</f>
        <v>250</v>
      </c>
      <c r="AS18" s="25" t="n">
        <f aca="false">IF(AS$4&lt;1,0,Telko)</f>
        <v>250</v>
      </c>
      <c r="AT18" s="25" t="n">
        <f aca="false">IF(AT$4&lt;1,0,Telko)</f>
        <v>250</v>
      </c>
      <c r="AU18" s="25" t="n">
        <f aca="false">IF(AU$4&lt;1,0,Telko)</f>
        <v>250</v>
      </c>
      <c r="AV18" s="25" t="n">
        <f aca="false">IF(AV$4&lt;1,0,Telko)</f>
        <v>250</v>
      </c>
      <c r="AW18" s="25" t="n">
        <f aca="false">IF(AW$4&lt;1,0,Telko)</f>
        <v>250</v>
      </c>
      <c r="AX18" s="25" t="n">
        <f aca="false">IF(AX$4&lt;1,0,Telko)</f>
        <v>250</v>
      </c>
      <c r="AY18" s="25" t="n">
        <f aca="false">IF(AY$4&lt;1,0,Telko)</f>
        <v>250</v>
      </c>
      <c r="AZ18" s="25" t="n">
        <f aca="false">IF(AZ$4&lt;1,0,Telko)</f>
        <v>250</v>
      </c>
      <c r="BA18" s="25" t="n">
        <f aca="false">IF(BA$4&lt;1,0,Telko)</f>
        <v>250</v>
      </c>
      <c r="BB18" s="25" t="n">
        <f aca="false">IF(BB$4&lt;1,0,Telko)</f>
        <v>250</v>
      </c>
      <c r="BC18" s="25" t="n">
        <f aca="false">IF(BC$4&lt;1,0,Telko)</f>
        <v>250</v>
      </c>
      <c r="BD18" s="25" t="n">
        <f aca="false">IF(BD$4&lt;1,0,Telko)</f>
        <v>250</v>
      </c>
      <c r="BE18" s="25" t="n">
        <f aca="false">IF(BE$4&lt;1,0,Telko)</f>
        <v>250</v>
      </c>
      <c r="BF18" s="25" t="n">
        <f aca="false">IF(BF$4&lt;1,0,Telko)</f>
        <v>250</v>
      </c>
      <c r="BG18" s="25" t="n">
        <f aca="false">IF(BG$4&lt;1,0,Telko)</f>
        <v>250</v>
      </c>
      <c r="BH18" s="25" t="n">
        <f aca="false">IF(BH$4&lt;1,0,Telko)</f>
        <v>250</v>
      </c>
      <c r="BI18" s="25" t="n">
        <f aca="false">IF(BI$4&lt;1,0,Telko)</f>
        <v>250</v>
      </c>
      <c r="BJ18" s="25" t="n">
        <f aca="false">IF(BJ$4&lt;1,0,Telko)</f>
        <v>250</v>
      </c>
      <c r="BK18" s="25" t="n">
        <f aca="false">IF(BK$4&lt;1,0,Telko)</f>
        <v>250</v>
      </c>
      <c r="BL18" s="25" t="n">
        <f aca="false">IF(BL$4&lt;1,0,Telko)</f>
        <v>250</v>
      </c>
      <c r="BM18" s="25" t="n">
        <f aca="false">IF(BM$4&lt;1,0,Telko)</f>
        <v>250</v>
      </c>
      <c r="BN18" s="25" t="n">
        <f aca="false">IF(BN$4&lt;1,0,Telko)</f>
        <v>250</v>
      </c>
      <c r="BO18" s="25" t="n">
        <f aca="false">IF(BO$4&lt;1,0,Telko)</f>
        <v>250</v>
      </c>
      <c r="BQ18" s="19" t="n">
        <v>1</v>
      </c>
    </row>
    <row r="19" customFormat="false" ht="15" hidden="false" customHeight="false" outlineLevel="0" collapsed="false">
      <c r="B19" s="2" t="s">
        <v>386</v>
      </c>
      <c r="C19" s="25" t="n">
        <f aca="false">IF(C$4&lt;1,0,Geraetewert*Wartung_Pct/12)</f>
        <v>0</v>
      </c>
      <c r="D19" s="25" t="n">
        <f aca="false">IF(D$4&lt;1,0,Geraetewert*Wartung_Pct/12)</f>
        <v>0</v>
      </c>
      <c r="E19" s="25" t="n">
        <f aca="false">IF(E$4&lt;1,0,Geraetewert*Wartung_Pct/12)</f>
        <v>0</v>
      </c>
      <c r="F19" s="25" t="n">
        <f aca="false">IF(F$4&lt;1,0,Geraetewert*Wartung_Pct/12)</f>
        <v>0</v>
      </c>
      <c r="G19" s="25" t="n">
        <f aca="false">IF(G$4&lt;1,0,Geraetewert*Wartung_Pct/12)</f>
        <v>0</v>
      </c>
      <c r="H19" s="25" t="n">
        <f aca="false">IF(H$4&lt;1,0,Geraetewert*Wartung_Pct/12)</f>
        <v>2596.65</v>
      </c>
      <c r="I19" s="25" t="n">
        <f aca="false">IF(I$4&lt;1,0,Geraetewert*Wartung_Pct/12)</f>
        <v>2596.65</v>
      </c>
      <c r="J19" s="25" t="n">
        <f aca="false">IF(J$4&lt;1,0,Geraetewert*Wartung_Pct/12)</f>
        <v>2596.65</v>
      </c>
      <c r="K19" s="25" t="n">
        <f aca="false">IF(K$4&lt;1,0,Geraetewert*Wartung_Pct/12)</f>
        <v>2596.65</v>
      </c>
      <c r="L19" s="25" t="n">
        <f aca="false">IF(L$4&lt;1,0,Geraetewert*Wartung_Pct/12)</f>
        <v>2596.65</v>
      </c>
      <c r="M19" s="25" t="n">
        <f aca="false">IF(M$4&lt;1,0,Geraetewert*Wartung_Pct/12)</f>
        <v>2596.65</v>
      </c>
      <c r="N19" s="25" t="n">
        <f aca="false">IF(N$4&lt;1,0,Geraetewert*Wartung_Pct/12)</f>
        <v>2596.65</v>
      </c>
      <c r="O19" s="25" t="n">
        <f aca="false">IF(O$4&lt;1,0,Geraetewert*Wartung_Pct/12)</f>
        <v>2596.65</v>
      </c>
      <c r="P19" s="25" t="n">
        <f aca="false">IF(P$4&lt;1,0,Geraetewert*Wartung_Pct/12)</f>
        <v>2596.65</v>
      </c>
      <c r="Q19" s="25" t="n">
        <f aca="false">IF(Q$4&lt;1,0,Geraetewert*Wartung_Pct/12)</f>
        <v>2596.65</v>
      </c>
      <c r="R19" s="25" t="n">
        <f aca="false">IF(R$4&lt;1,0,Geraetewert*Wartung_Pct/12)</f>
        <v>2596.65</v>
      </c>
      <c r="S19" s="25" t="n">
        <f aca="false">IF(S$4&lt;1,0,Geraetewert*Wartung_Pct/12)</f>
        <v>2596.65</v>
      </c>
      <c r="T19" s="25" t="n">
        <f aca="false">IF(T$4&lt;1,0,Geraetewert*Wartung_Pct/12)</f>
        <v>2596.65</v>
      </c>
      <c r="U19" s="25" t="n">
        <f aca="false">IF(U$4&lt;1,0,Geraetewert*Wartung_Pct/12)</f>
        <v>2596.65</v>
      </c>
      <c r="V19" s="25" t="n">
        <f aca="false">IF(V$4&lt;1,0,Geraetewert*Wartung_Pct/12)</f>
        <v>2596.65</v>
      </c>
      <c r="W19" s="25" t="n">
        <f aca="false">IF(W$4&lt;1,0,Geraetewert*Wartung_Pct/12)</f>
        <v>2596.65</v>
      </c>
      <c r="X19" s="25" t="n">
        <f aca="false">IF(X$4&lt;1,0,Geraetewert*Wartung_Pct/12)</f>
        <v>2596.65</v>
      </c>
      <c r="Y19" s="25" t="n">
        <f aca="false">IF(Y$4&lt;1,0,Geraetewert*Wartung_Pct/12)</f>
        <v>2596.65</v>
      </c>
      <c r="Z19" s="25" t="n">
        <f aca="false">IF(Z$4&lt;1,0,Geraetewert*Wartung_Pct/12)</f>
        <v>2596.65</v>
      </c>
      <c r="AA19" s="25" t="n">
        <f aca="false">IF(AA$4&lt;1,0,Geraetewert*Wartung_Pct/12)</f>
        <v>2596.65</v>
      </c>
      <c r="AB19" s="25" t="n">
        <f aca="false">IF(AB$4&lt;1,0,Geraetewert*Wartung_Pct/12)</f>
        <v>2596.65</v>
      </c>
      <c r="AC19" s="25" t="n">
        <f aca="false">IF(AC$4&lt;1,0,Geraetewert*Wartung_Pct/12)</f>
        <v>2596.65</v>
      </c>
      <c r="AD19" s="25" t="n">
        <f aca="false">IF(AD$4&lt;1,0,Geraetewert*Wartung_Pct/12)</f>
        <v>2596.65</v>
      </c>
      <c r="AE19" s="25" t="n">
        <f aca="false">IF(AE$4&lt;1,0,Geraetewert*Wartung_Pct/12)</f>
        <v>2596.65</v>
      </c>
      <c r="AF19" s="25" t="n">
        <f aca="false">IF(AF$4&lt;1,0,Geraetewert*Wartung_Pct/12)</f>
        <v>2596.65</v>
      </c>
      <c r="AG19" s="25" t="n">
        <f aca="false">IF(AG$4&lt;1,0,Geraetewert*Wartung_Pct/12)</f>
        <v>2596.65</v>
      </c>
      <c r="AH19" s="25" t="n">
        <f aca="false">IF(AH$4&lt;1,0,Geraetewert*Wartung_Pct/12)</f>
        <v>2596.65</v>
      </c>
      <c r="AI19" s="25" t="n">
        <f aca="false">IF(AI$4&lt;1,0,Geraetewert*Wartung_Pct/12)</f>
        <v>2596.65</v>
      </c>
      <c r="AJ19" s="25" t="n">
        <f aca="false">IF(AJ$4&lt;1,0,Geraetewert*Wartung_Pct/12)</f>
        <v>2596.65</v>
      </c>
      <c r="AK19" s="25" t="n">
        <f aca="false">IF(AK$4&lt;1,0,Geraetewert*Wartung_Pct/12)</f>
        <v>2596.65</v>
      </c>
      <c r="AL19" s="25" t="n">
        <f aca="false">IF(AL$4&lt;1,0,Geraetewert*Wartung_Pct/12)</f>
        <v>2596.65</v>
      </c>
      <c r="AM19" s="25" t="n">
        <f aca="false">IF(AM$4&lt;1,0,Geraetewert*Wartung_Pct/12)</f>
        <v>2596.65</v>
      </c>
      <c r="AN19" s="25" t="n">
        <f aca="false">IF(AN$4&lt;1,0,Geraetewert*Wartung_Pct/12)</f>
        <v>2596.65</v>
      </c>
      <c r="AO19" s="25" t="n">
        <f aca="false">IF(AO$4&lt;1,0,Geraetewert*Wartung_Pct/12)</f>
        <v>2596.65</v>
      </c>
      <c r="AP19" s="25" t="n">
        <f aca="false">IF(AP$4&lt;1,0,Geraetewert*Wartung_Pct/12)</f>
        <v>2596.65</v>
      </c>
      <c r="AQ19" s="25" t="n">
        <f aca="false">IF(AQ$4&lt;1,0,Geraetewert*Wartung_Pct/12)</f>
        <v>2596.65</v>
      </c>
      <c r="AR19" s="25" t="n">
        <f aca="false">IF(AR$4&lt;1,0,Geraetewert*Wartung_Pct/12)</f>
        <v>2596.65</v>
      </c>
      <c r="AS19" s="25" t="n">
        <f aca="false">IF(AS$4&lt;1,0,Geraetewert*Wartung_Pct/12)</f>
        <v>2596.65</v>
      </c>
      <c r="AT19" s="25" t="n">
        <f aca="false">IF(AT$4&lt;1,0,Geraetewert*Wartung_Pct/12)</f>
        <v>2596.65</v>
      </c>
      <c r="AU19" s="25" t="n">
        <f aca="false">IF(AU$4&lt;1,0,Geraetewert*Wartung_Pct/12)</f>
        <v>2596.65</v>
      </c>
      <c r="AV19" s="25" t="n">
        <f aca="false">IF(AV$4&lt;1,0,Geraetewert*Wartung_Pct/12)</f>
        <v>2596.65</v>
      </c>
      <c r="AW19" s="25" t="n">
        <f aca="false">IF(AW$4&lt;1,0,Geraetewert*Wartung_Pct/12)</f>
        <v>2596.65</v>
      </c>
      <c r="AX19" s="25" t="n">
        <f aca="false">IF(AX$4&lt;1,0,Geraetewert*Wartung_Pct/12)</f>
        <v>2596.65</v>
      </c>
      <c r="AY19" s="25" t="n">
        <f aca="false">IF(AY$4&lt;1,0,Geraetewert*Wartung_Pct/12)</f>
        <v>2596.65</v>
      </c>
      <c r="AZ19" s="25" t="n">
        <f aca="false">IF(AZ$4&lt;1,0,Geraetewert*Wartung_Pct/12)</f>
        <v>2596.65</v>
      </c>
      <c r="BA19" s="25" t="n">
        <f aca="false">IF(BA$4&lt;1,0,Geraetewert*Wartung_Pct/12)</f>
        <v>2596.65</v>
      </c>
      <c r="BB19" s="25" t="n">
        <f aca="false">IF(BB$4&lt;1,0,Geraetewert*Wartung_Pct/12)</f>
        <v>2596.65</v>
      </c>
      <c r="BC19" s="25" t="n">
        <f aca="false">IF(BC$4&lt;1,0,Geraetewert*Wartung_Pct/12)</f>
        <v>2596.65</v>
      </c>
      <c r="BD19" s="25" t="n">
        <f aca="false">IF(BD$4&lt;1,0,Geraetewert*Wartung_Pct/12)</f>
        <v>2596.65</v>
      </c>
      <c r="BE19" s="25" t="n">
        <f aca="false">IF(BE$4&lt;1,0,Geraetewert*Wartung_Pct/12)</f>
        <v>2596.65</v>
      </c>
      <c r="BF19" s="25" t="n">
        <f aca="false">IF(BF$4&lt;1,0,Geraetewert*Wartung_Pct/12)</f>
        <v>2596.65</v>
      </c>
      <c r="BG19" s="25" t="n">
        <f aca="false">IF(BG$4&lt;1,0,Geraetewert*Wartung_Pct/12)</f>
        <v>2596.65</v>
      </c>
      <c r="BH19" s="25" t="n">
        <f aca="false">IF(BH$4&lt;1,0,Geraetewert*Wartung_Pct/12)</f>
        <v>2596.65</v>
      </c>
      <c r="BI19" s="25" t="n">
        <f aca="false">IF(BI$4&lt;1,0,Geraetewert*Wartung_Pct/12)</f>
        <v>2596.65</v>
      </c>
      <c r="BJ19" s="25" t="n">
        <f aca="false">IF(BJ$4&lt;1,0,Geraetewert*Wartung_Pct/12)</f>
        <v>2596.65</v>
      </c>
      <c r="BK19" s="25" t="n">
        <f aca="false">IF(BK$4&lt;1,0,Geraetewert*Wartung_Pct/12)</f>
        <v>2596.65</v>
      </c>
      <c r="BL19" s="25" t="n">
        <f aca="false">IF(BL$4&lt;1,0,Geraetewert*Wartung_Pct/12)</f>
        <v>2596.65</v>
      </c>
      <c r="BM19" s="25" t="n">
        <f aca="false">IF(BM$4&lt;1,0,Geraetewert*Wartung_Pct/12)</f>
        <v>2596.65</v>
      </c>
      <c r="BN19" s="25" t="n">
        <f aca="false">IF(BN$4&lt;1,0,Geraetewert*Wartung_Pct/12)</f>
        <v>2596.65</v>
      </c>
      <c r="BO19" s="25" t="n">
        <f aca="false">IF(BO$4&lt;1,0,Geraetewert*Wartung_Pct/12)</f>
        <v>2596.65</v>
      </c>
      <c r="BQ19" s="19" t="n">
        <v>1</v>
      </c>
    </row>
    <row r="20" customFormat="false" ht="15" hidden="false" customHeight="false" outlineLevel="0" collapsed="false">
      <c r="B20" s="2" t="s">
        <v>182</v>
      </c>
      <c r="C20" s="25" t="n">
        <f aca="false">IF(C$4&lt;1,0,Flaeche*Instand_m2/12)</f>
        <v>0</v>
      </c>
      <c r="D20" s="25" t="n">
        <f aca="false">IF(D$4&lt;1,0,Flaeche*Instand_m2/12)</f>
        <v>0</v>
      </c>
      <c r="E20" s="25" t="n">
        <f aca="false">IF(E$4&lt;1,0,Flaeche*Instand_m2/12)</f>
        <v>0</v>
      </c>
      <c r="F20" s="25" t="n">
        <f aca="false">IF(F$4&lt;1,0,Flaeche*Instand_m2/12)</f>
        <v>0</v>
      </c>
      <c r="G20" s="25" t="n">
        <f aca="false">IF(G$4&lt;1,0,Flaeche*Instand_m2/12)</f>
        <v>0</v>
      </c>
      <c r="H20" s="25" t="n">
        <f aca="false">IF(H$4&lt;1,0,Flaeche*Instand_m2/12)</f>
        <v>658.466666666667</v>
      </c>
      <c r="I20" s="25" t="n">
        <f aca="false">IF(I$4&lt;1,0,Flaeche*Instand_m2/12)</f>
        <v>658.466666666667</v>
      </c>
      <c r="J20" s="25" t="n">
        <f aca="false">IF(J$4&lt;1,0,Flaeche*Instand_m2/12)</f>
        <v>658.466666666667</v>
      </c>
      <c r="K20" s="25" t="n">
        <f aca="false">IF(K$4&lt;1,0,Flaeche*Instand_m2/12)</f>
        <v>658.466666666667</v>
      </c>
      <c r="L20" s="25" t="n">
        <f aca="false">IF(L$4&lt;1,0,Flaeche*Instand_m2/12)</f>
        <v>658.466666666667</v>
      </c>
      <c r="M20" s="25" t="n">
        <f aca="false">IF(M$4&lt;1,0,Flaeche*Instand_m2/12)</f>
        <v>658.466666666667</v>
      </c>
      <c r="N20" s="25" t="n">
        <f aca="false">IF(N$4&lt;1,0,Flaeche*Instand_m2/12)</f>
        <v>658.466666666667</v>
      </c>
      <c r="O20" s="25" t="n">
        <f aca="false">IF(O$4&lt;1,0,Flaeche*Instand_m2/12)</f>
        <v>658.466666666667</v>
      </c>
      <c r="P20" s="25" t="n">
        <f aca="false">IF(P$4&lt;1,0,Flaeche*Instand_m2/12)</f>
        <v>658.466666666667</v>
      </c>
      <c r="Q20" s="25" t="n">
        <f aca="false">IF(Q$4&lt;1,0,Flaeche*Instand_m2/12)</f>
        <v>658.466666666667</v>
      </c>
      <c r="R20" s="25" t="n">
        <f aca="false">IF(R$4&lt;1,0,Flaeche*Instand_m2/12)</f>
        <v>658.466666666667</v>
      </c>
      <c r="S20" s="25" t="n">
        <f aca="false">IF(S$4&lt;1,0,Flaeche*Instand_m2/12)</f>
        <v>658.466666666667</v>
      </c>
      <c r="T20" s="25" t="n">
        <f aca="false">IF(T$4&lt;1,0,Flaeche*Instand_m2/12)</f>
        <v>658.466666666667</v>
      </c>
      <c r="U20" s="25" t="n">
        <f aca="false">IF(U$4&lt;1,0,Flaeche*Instand_m2/12)</f>
        <v>658.466666666667</v>
      </c>
      <c r="V20" s="25" t="n">
        <f aca="false">IF(V$4&lt;1,0,Flaeche*Instand_m2/12)</f>
        <v>658.466666666667</v>
      </c>
      <c r="W20" s="25" t="n">
        <f aca="false">IF(W$4&lt;1,0,Flaeche*Instand_m2/12)</f>
        <v>658.466666666667</v>
      </c>
      <c r="X20" s="25" t="n">
        <f aca="false">IF(X$4&lt;1,0,Flaeche*Instand_m2/12)</f>
        <v>658.466666666667</v>
      </c>
      <c r="Y20" s="25" t="n">
        <f aca="false">IF(Y$4&lt;1,0,Flaeche*Instand_m2/12)</f>
        <v>658.466666666667</v>
      </c>
      <c r="Z20" s="25" t="n">
        <f aca="false">IF(Z$4&lt;1,0,Flaeche*Instand_m2/12)</f>
        <v>658.466666666667</v>
      </c>
      <c r="AA20" s="25" t="n">
        <f aca="false">IF(AA$4&lt;1,0,Flaeche*Instand_m2/12)</f>
        <v>658.466666666667</v>
      </c>
      <c r="AB20" s="25" t="n">
        <f aca="false">IF(AB$4&lt;1,0,Flaeche*Instand_m2/12)</f>
        <v>658.466666666667</v>
      </c>
      <c r="AC20" s="25" t="n">
        <f aca="false">IF(AC$4&lt;1,0,Flaeche*Instand_m2/12)</f>
        <v>658.466666666667</v>
      </c>
      <c r="AD20" s="25" t="n">
        <f aca="false">IF(AD$4&lt;1,0,Flaeche*Instand_m2/12)</f>
        <v>658.466666666667</v>
      </c>
      <c r="AE20" s="25" t="n">
        <f aca="false">IF(AE$4&lt;1,0,Flaeche*Instand_m2/12)</f>
        <v>658.466666666667</v>
      </c>
      <c r="AF20" s="25" t="n">
        <f aca="false">IF(AF$4&lt;1,0,Flaeche*Instand_m2/12)</f>
        <v>658.466666666667</v>
      </c>
      <c r="AG20" s="25" t="n">
        <f aca="false">IF(AG$4&lt;1,0,Flaeche*Instand_m2/12)</f>
        <v>658.466666666667</v>
      </c>
      <c r="AH20" s="25" t="n">
        <f aca="false">IF(AH$4&lt;1,0,Flaeche*Instand_m2/12)</f>
        <v>658.466666666667</v>
      </c>
      <c r="AI20" s="25" t="n">
        <f aca="false">IF(AI$4&lt;1,0,Flaeche*Instand_m2/12)</f>
        <v>658.466666666667</v>
      </c>
      <c r="AJ20" s="25" t="n">
        <f aca="false">IF(AJ$4&lt;1,0,Flaeche*Instand_m2/12)</f>
        <v>658.466666666667</v>
      </c>
      <c r="AK20" s="25" t="n">
        <f aca="false">IF(AK$4&lt;1,0,Flaeche*Instand_m2/12)</f>
        <v>658.466666666667</v>
      </c>
      <c r="AL20" s="25" t="n">
        <f aca="false">IF(AL$4&lt;1,0,Flaeche*Instand_m2/12)</f>
        <v>658.466666666667</v>
      </c>
      <c r="AM20" s="25" t="n">
        <f aca="false">IF(AM$4&lt;1,0,Flaeche*Instand_m2/12)</f>
        <v>658.466666666667</v>
      </c>
      <c r="AN20" s="25" t="n">
        <f aca="false">IF(AN$4&lt;1,0,Flaeche*Instand_m2/12)</f>
        <v>658.466666666667</v>
      </c>
      <c r="AO20" s="25" t="n">
        <f aca="false">IF(AO$4&lt;1,0,Flaeche*Instand_m2/12)</f>
        <v>658.466666666667</v>
      </c>
      <c r="AP20" s="25" t="n">
        <f aca="false">IF(AP$4&lt;1,0,Flaeche*Instand_m2/12)</f>
        <v>658.466666666667</v>
      </c>
      <c r="AQ20" s="25" t="n">
        <f aca="false">IF(AQ$4&lt;1,0,Flaeche*Instand_m2/12)</f>
        <v>658.466666666667</v>
      </c>
      <c r="AR20" s="25" t="n">
        <f aca="false">IF(AR$4&lt;1,0,Flaeche*Instand_m2/12)</f>
        <v>658.466666666667</v>
      </c>
      <c r="AS20" s="25" t="n">
        <f aca="false">IF(AS$4&lt;1,0,Flaeche*Instand_m2/12)</f>
        <v>658.466666666667</v>
      </c>
      <c r="AT20" s="25" t="n">
        <f aca="false">IF(AT$4&lt;1,0,Flaeche*Instand_m2/12)</f>
        <v>658.466666666667</v>
      </c>
      <c r="AU20" s="25" t="n">
        <f aca="false">IF(AU$4&lt;1,0,Flaeche*Instand_m2/12)</f>
        <v>658.466666666667</v>
      </c>
      <c r="AV20" s="25" t="n">
        <f aca="false">IF(AV$4&lt;1,0,Flaeche*Instand_m2/12)</f>
        <v>658.466666666667</v>
      </c>
      <c r="AW20" s="25" t="n">
        <f aca="false">IF(AW$4&lt;1,0,Flaeche*Instand_m2/12)</f>
        <v>658.466666666667</v>
      </c>
      <c r="AX20" s="25" t="n">
        <f aca="false">IF(AX$4&lt;1,0,Flaeche*Instand_m2/12)</f>
        <v>658.466666666667</v>
      </c>
      <c r="AY20" s="25" t="n">
        <f aca="false">IF(AY$4&lt;1,0,Flaeche*Instand_m2/12)</f>
        <v>658.466666666667</v>
      </c>
      <c r="AZ20" s="25" t="n">
        <f aca="false">IF(AZ$4&lt;1,0,Flaeche*Instand_m2/12)</f>
        <v>658.466666666667</v>
      </c>
      <c r="BA20" s="25" t="n">
        <f aca="false">IF(BA$4&lt;1,0,Flaeche*Instand_m2/12)</f>
        <v>658.466666666667</v>
      </c>
      <c r="BB20" s="25" t="n">
        <f aca="false">IF(BB$4&lt;1,0,Flaeche*Instand_m2/12)</f>
        <v>658.466666666667</v>
      </c>
      <c r="BC20" s="25" t="n">
        <f aca="false">IF(BC$4&lt;1,0,Flaeche*Instand_m2/12)</f>
        <v>658.466666666667</v>
      </c>
      <c r="BD20" s="25" t="n">
        <f aca="false">IF(BD$4&lt;1,0,Flaeche*Instand_m2/12)</f>
        <v>658.466666666667</v>
      </c>
      <c r="BE20" s="25" t="n">
        <f aca="false">IF(BE$4&lt;1,0,Flaeche*Instand_m2/12)</f>
        <v>658.466666666667</v>
      </c>
      <c r="BF20" s="25" t="n">
        <f aca="false">IF(BF$4&lt;1,0,Flaeche*Instand_m2/12)</f>
        <v>658.466666666667</v>
      </c>
      <c r="BG20" s="25" t="n">
        <f aca="false">IF(BG$4&lt;1,0,Flaeche*Instand_m2/12)</f>
        <v>658.466666666667</v>
      </c>
      <c r="BH20" s="25" t="n">
        <f aca="false">IF(BH$4&lt;1,0,Flaeche*Instand_m2/12)</f>
        <v>658.466666666667</v>
      </c>
      <c r="BI20" s="25" t="n">
        <f aca="false">IF(BI$4&lt;1,0,Flaeche*Instand_m2/12)</f>
        <v>658.466666666667</v>
      </c>
      <c r="BJ20" s="25" t="n">
        <f aca="false">IF(BJ$4&lt;1,0,Flaeche*Instand_m2/12)</f>
        <v>658.466666666667</v>
      </c>
      <c r="BK20" s="25" t="n">
        <f aca="false">IF(BK$4&lt;1,0,Flaeche*Instand_m2/12)</f>
        <v>658.466666666667</v>
      </c>
      <c r="BL20" s="25" t="n">
        <f aca="false">IF(BL$4&lt;1,0,Flaeche*Instand_m2/12)</f>
        <v>658.466666666667</v>
      </c>
      <c r="BM20" s="25" t="n">
        <f aca="false">IF(BM$4&lt;1,0,Flaeche*Instand_m2/12)</f>
        <v>658.466666666667</v>
      </c>
      <c r="BN20" s="25" t="n">
        <f aca="false">IF(BN$4&lt;1,0,Flaeche*Instand_m2/12)</f>
        <v>658.466666666667</v>
      </c>
      <c r="BO20" s="25" t="n">
        <f aca="false">IF(BO$4&lt;1,0,Flaeche*Instand_m2/12)</f>
        <v>658.466666666667</v>
      </c>
      <c r="BQ20" s="19" t="n">
        <v>1</v>
      </c>
    </row>
    <row r="21" customFormat="false" ht="15" hidden="false" customHeight="false" outlineLevel="0" collapsed="false">
      <c r="B21" s="2" t="s">
        <v>316</v>
      </c>
      <c r="C21" s="25" t="n">
        <f aca="false">IF(C$4&lt;1,0,Sonstiges)</f>
        <v>0</v>
      </c>
      <c r="D21" s="25" t="n">
        <f aca="false">IF(D$4&lt;1,0,Sonstiges)</f>
        <v>0</v>
      </c>
      <c r="E21" s="25" t="n">
        <f aca="false">IF(E$4&lt;1,0,Sonstiges)</f>
        <v>0</v>
      </c>
      <c r="F21" s="25" t="n">
        <f aca="false">IF(F$4&lt;1,0,Sonstiges)</f>
        <v>0</v>
      </c>
      <c r="G21" s="25" t="n">
        <f aca="false">IF(G$4&lt;1,0,Sonstiges)</f>
        <v>0</v>
      </c>
      <c r="H21" s="25" t="n">
        <f aca="false">IF(H$4&lt;1,0,Sonstiges)</f>
        <v>1500</v>
      </c>
      <c r="I21" s="25" t="n">
        <f aca="false">IF(I$4&lt;1,0,Sonstiges)</f>
        <v>1500</v>
      </c>
      <c r="J21" s="25" t="n">
        <f aca="false">IF(J$4&lt;1,0,Sonstiges)</f>
        <v>1500</v>
      </c>
      <c r="K21" s="25" t="n">
        <f aca="false">IF(K$4&lt;1,0,Sonstiges)</f>
        <v>1500</v>
      </c>
      <c r="L21" s="25" t="n">
        <f aca="false">IF(L$4&lt;1,0,Sonstiges)</f>
        <v>1500</v>
      </c>
      <c r="M21" s="25" t="n">
        <f aca="false">IF(M$4&lt;1,0,Sonstiges)</f>
        <v>1500</v>
      </c>
      <c r="N21" s="25" t="n">
        <f aca="false">IF(N$4&lt;1,0,Sonstiges)</f>
        <v>1500</v>
      </c>
      <c r="O21" s="25" t="n">
        <f aca="false">IF(O$4&lt;1,0,Sonstiges)</f>
        <v>1500</v>
      </c>
      <c r="P21" s="25" t="n">
        <f aca="false">IF(P$4&lt;1,0,Sonstiges)</f>
        <v>1500</v>
      </c>
      <c r="Q21" s="25" t="n">
        <f aca="false">IF(Q$4&lt;1,0,Sonstiges)</f>
        <v>1500</v>
      </c>
      <c r="R21" s="25" t="n">
        <f aca="false">IF(R$4&lt;1,0,Sonstiges)</f>
        <v>1500</v>
      </c>
      <c r="S21" s="25" t="n">
        <f aca="false">IF(S$4&lt;1,0,Sonstiges)</f>
        <v>1500</v>
      </c>
      <c r="T21" s="25" t="n">
        <f aca="false">IF(T$4&lt;1,0,Sonstiges)</f>
        <v>1500</v>
      </c>
      <c r="U21" s="25" t="n">
        <f aca="false">IF(U$4&lt;1,0,Sonstiges)</f>
        <v>1500</v>
      </c>
      <c r="V21" s="25" t="n">
        <f aca="false">IF(V$4&lt;1,0,Sonstiges)</f>
        <v>1500</v>
      </c>
      <c r="W21" s="25" t="n">
        <f aca="false">IF(W$4&lt;1,0,Sonstiges)</f>
        <v>1500</v>
      </c>
      <c r="X21" s="25" t="n">
        <f aca="false">IF(X$4&lt;1,0,Sonstiges)</f>
        <v>1500</v>
      </c>
      <c r="Y21" s="25" t="n">
        <f aca="false">IF(Y$4&lt;1,0,Sonstiges)</f>
        <v>1500</v>
      </c>
      <c r="Z21" s="25" t="n">
        <f aca="false">IF(Z$4&lt;1,0,Sonstiges)</f>
        <v>1500</v>
      </c>
      <c r="AA21" s="25" t="n">
        <f aca="false">IF(AA$4&lt;1,0,Sonstiges)</f>
        <v>1500</v>
      </c>
      <c r="AB21" s="25" t="n">
        <f aca="false">IF(AB$4&lt;1,0,Sonstiges)</f>
        <v>1500</v>
      </c>
      <c r="AC21" s="25" t="n">
        <f aca="false">IF(AC$4&lt;1,0,Sonstiges)</f>
        <v>1500</v>
      </c>
      <c r="AD21" s="25" t="n">
        <f aca="false">IF(AD$4&lt;1,0,Sonstiges)</f>
        <v>1500</v>
      </c>
      <c r="AE21" s="25" t="n">
        <f aca="false">IF(AE$4&lt;1,0,Sonstiges)</f>
        <v>1500</v>
      </c>
      <c r="AF21" s="25" t="n">
        <f aca="false">IF(AF$4&lt;1,0,Sonstiges)</f>
        <v>1500</v>
      </c>
      <c r="AG21" s="25" t="n">
        <f aca="false">IF(AG$4&lt;1,0,Sonstiges)</f>
        <v>1500</v>
      </c>
      <c r="AH21" s="25" t="n">
        <f aca="false">IF(AH$4&lt;1,0,Sonstiges)</f>
        <v>1500</v>
      </c>
      <c r="AI21" s="25" t="n">
        <f aca="false">IF(AI$4&lt;1,0,Sonstiges)</f>
        <v>1500</v>
      </c>
      <c r="AJ21" s="25" t="n">
        <f aca="false">IF(AJ$4&lt;1,0,Sonstiges)</f>
        <v>1500</v>
      </c>
      <c r="AK21" s="25" t="n">
        <f aca="false">IF(AK$4&lt;1,0,Sonstiges)</f>
        <v>1500</v>
      </c>
      <c r="AL21" s="25" t="n">
        <f aca="false">IF(AL$4&lt;1,0,Sonstiges)</f>
        <v>1500</v>
      </c>
      <c r="AM21" s="25" t="n">
        <f aca="false">IF(AM$4&lt;1,0,Sonstiges)</f>
        <v>1500</v>
      </c>
      <c r="AN21" s="25" t="n">
        <f aca="false">IF(AN$4&lt;1,0,Sonstiges)</f>
        <v>1500</v>
      </c>
      <c r="AO21" s="25" t="n">
        <f aca="false">IF(AO$4&lt;1,0,Sonstiges)</f>
        <v>1500</v>
      </c>
      <c r="AP21" s="25" t="n">
        <f aca="false">IF(AP$4&lt;1,0,Sonstiges)</f>
        <v>1500</v>
      </c>
      <c r="AQ21" s="25" t="n">
        <f aca="false">IF(AQ$4&lt;1,0,Sonstiges)</f>
        <v>1500</v>
      </c>
      <c r="AR21" s="25" t="n">
        <f aca="false">IF(AR$4&lt;1,0,Sonstiges)</f>
        <v>1500</v>
      </c>
      <c r="AS21" s="25" t="n">
        <f aca="false">IF(AS$4&lt;1,0,Sonstiges)</f>
        <v>1500</v>
      </c>
      <c r="AT21" s="25" t="n">
        <f aca="false">IF(AT$4&lt;1,0,Sonstiges)</f>
        <v>1500</v>
      </c>
      <c r="AU21" s="25" t="n">
        <f aca="false">IF(AU$4&lt;1,0,Sonstiges)</f>
        <v>1500</v>
      </c>
      <c r="AV21" s="25" t="n">
        <f aca="false">IF(AV$4&lt;1,0,Sonstiges)</f>
        <v>1500</v>
      </c>
      <c r="AW21" s="25" t="n">
        <f aca="false">IF(AW$4&lt;1,0,Sonstiges)</f>
        <v>1500</v>
      </c>
      <c r="AX21" s="25" t="n">
        <f aca="false">IF(AX$4&lt;1,0,Sonstiges)</f>
        <v>1500</v>
      </c>
      <c r="AY21" s="25" t="n">
        <f aca="false">IF(AY$4&lt;1,0,Sonstiges)</f>
        <v>1500</v>
      </c>
      <c r="AZ21" s="25" t="n">
        <f aca="false">IF(AZ$4&lt;1,0,Sonstiges)</f>
        <v>1500</v>
      </c>
      <c r="BA21" s="25" t="n">
        <f aca="false">IF(BA$4&lt;1,0,Sonstiges)</f>
        <v>1500</v>
      </c>
      <c r="BB21" s="25" t="n">
        <f aca="false">IF(BB$4&lt;1,0,Sonstiges)</f>
        <v>1500</v>
      </c>
      <c r="BC21" s="25" t="n">
        <f aca="false">IF(BC$4&lt;1,0,Sonstiges)</f>
        <v>1500</v>
      </c>
      <c r="BD21" s="25" t="n">
        <f aca="false">IF(BD$4&lt;1,0,Sonstiges)</f>
        <v>1500</v>
      </c>
      <c r="BE21" s="25" t="n">
        <f aca="false">IF(BE$4&lt;1,0,Sonstiges)</f>
        <v>1500</v>
      </c>
      <c r="BF21" s="25" t="n">
        <f aca="false">IF(BF$4&lt;1,0,Sonstiges)</f>
        <v>1500</v>
      </c>
      <c r="BG21" s="25" t="n">
        <f aca="false">IF(BG$4&lt;1,0,Sonstiges)</f>
        <v>1500</v>
      </c>
      <c r="BH21" s="25" t="n">
        <f aca="false">IF(BH$4&lt;1,0,Sonstiges)</f>
        <v>1500</v>
      </c>
      <c r="BI21" s="25" t="n">
        <f aca="false">IF(BI$4&lt;1,0,Sonstiges)</f>
        <v>1500</v>
      </c>
      <c r="BJ21" s="25" t="n">
        <f aca="false">IF(BJ$4&lt;1,0,Sonstiges)</f>
        <v>1500</v>
      </c>
      <c r="BK21" s="25" t="n">
        <f aca="false">IF(BK$4&lt;1,0,Sonstiges)</f>
        <v>1500</v>
      </c>
      <c r="BL21" s="25" t="n">
        <f aca="false">IF(BL$4&lt;1,0,Sonstiges)</f>
        <v>1500</v>
      </c>
      <c r="BM21" s="25" t="n">
        <f aca="false">IF(BM$4&lt;1,0,Sonstiges)</f>
        <v>1500</v>
      </c>
      <c r="BN21" s="25" t="n">
        <f aca="false">IF(BN$4&lt;1,0,Sonstiges)</f>
        <v>1500</v>
      </c>
      <c r="BO21" s="25" t="n">
        <f aca="false">IF(BO$4&lt;1,0,Sonstiges)</f>
        <v>1500</v>
      </c>
      <c r="BQ21" s="19" t="n">
        <v>1</v>
      </c>
    </row>
    <row r="22" customFormat="false" ht="15" hidden="false" customHeight="false" outlineLevel="0" collapsed="false">
      <c r="B22" s="2" t="s">
        <v>105</v>
      </c>
      <c r="C22" s="25" t="n">
        <v>0</v>
      </c>
      <c r="D22" s="25" t="n">
        <v>0</v>
      </c>
      <c r="E22" s="25" t="n">
        <v>0</v>
      </c>
      <c r="F22" s="25" t="n">
        <v>0</v>
      </c>
      <c r="G22" s="25" t="n">
        <v>0</v>
      </c>
      <c r="H22" s="33" t="n">
        <f aca="false">Umsatz!C18</f>
        <v>419.647058823529</v>
      </c>
      <c r="I22" s="33" t="n">
        <f aca="false">Umsatz!D18</f>
        <v>551.591294117647</v>
      </c>
      <c r="J22" s="33" t="n">
        <f aca="false">Umsatz!E18</f>
        <v>680.632756235294</v>
      </c>
      <c r="K22" s="33" t="n">
        <f aca="false">Umsatz!F18</f>
        <v>786.667238959462</v>
      </c>
      <c r="L22" s="33" t="n">
        <f aca="false">Umsatz!G18</f>
        <v>870.200895836808</v>
      </c>
      <c r="M22" s="33" t="n">
        <f aca="false">Umsatz!H18</f>
        <v>951.896812262852</v>
      </c>
      <c r="N22" s="33" t="n">
        <f aca="false">Umsatz!I18</f>
        <v>1031.79541852752</v>
      </c>
      <c r="O22" s="33" t="n">
        <f aca="false">Umsatz!J18</f>
        <v>1109.93625545437</v>
      </c>
      <c r="P22" s="33" t="n">
        <f aca="false">Umsatz!K18</f>
        <v>1186.35799396883</v>
      </c>
      <c r="Q22" s="33" t="n">
        <f aca="false">Umsatz!L18</f>
        <v>1261.09845423597</v>
      </c>
      <c r="R22" s="33" t="n">
        <f aca="false">Umsatz!M18</f>
        <v>1334.19462437723</v>
      </c>
      <c r="S22" s="33" t="n">
        <f aca="false">Umsatz!N18</f>
        <v>1405.68267877539</v>
      </c>
      <c r="T22" s="33" t="n">
        <f aca="false">Umsatz!O18</f>
        <v>1470.55597917006</v>
      </c>
      <c r="U22" s="33" t="n">
        <f aca="false">Umsatz!P18</f>
        <v>1528.96005014933</v>
      </c>
      <c r="V22" s="33" t="n">
        <f aca="false">Umsatz!Q18</f>
        <v>1586.07923156705</v>
      </c>
      <c r="W22" s="33" t="n">
        <f aca="false">Umsatz!R18</f>
        <v>1641.94179099358</v>
      </c>
      <c r="X22" s="33" t="n">
        <f aca="false">Umsatz!S18</f>
        <v>1696.57537411273</v>
      </c>
      <c r="Y22" s="33" t="n">
        <f aca="false">Umsatz!T18</f>
        <v>1750.00701840326</v>
      </c>
      <c r="Z22" s="33" t="n">
        <f aca="false">Umsatz!U18</f>
        <v>1802.2631665194</v>
      </c>
      <c r="AA22" s="33" t="n">
        <f aca="false">Umsatz!V18</f>
        <v>1853.36967937698</v>
      </c>
      <c r="AB22" s="33" t="n">
        <f aca="false">Umsatz!W18</f>
        <v>1903.35184895169</v>
      </c>
      <c r="AC22" s="33" t="n">
        <f aca="false">Umsatz!X18</f>
        <v>1952.23441079576</v>
      </c>
      <c r="AD22" s="33" t="n">
        <f aca="false">Umsatz!Y18</f>
        <v>2000.04155627927</v>
      </c>
      <c r="AE22" s="33" t="n">
        <f aca="false">Umsatz!Z18</f>
        <v>2046.79694456213</v>
      </c>
      <c r="AF22" s="33" t="n">
        <f aca="false">Umsatz!AA18</f>
        <v>2087.48169749605</v>
      </c>
      <c r="AG22" s="33" t="n">
        <f aca="false">Umsatz!AB18</f>
        <v>2122.2293690587</v>
      </c>
      <c r="AH22" s="33" t="n">
        <f aca="false">Umsatz!AC18</f>
        <v>2156.21259184697</v>
      </c>
      <c r="AI22" s="33" t="n">
        <f aca="false">Umsatz!AD18</f>
        <v>2189.4481837339</v>
      </c>
      <c r="AJ22" s="33" t="n">
        <f aca="false">Umsatz!AE18</f>
        <v>2212.18427288118</v>
      </c>
      <c r="AK22" s="33" t="n">
        <f aca="false">Umsatz!AF18</f>
        <v>2218.48739495798</v>
      </c>
      <c r="AL22" s="33" t="n">
        <f aca="false">Umsatz!AG18</f>
        <v>2218.48739495798</v>
      </c>
      <c r="AM22" s="33" t="n">
        <f aca="false">Umsatz!AH18</f>
        <v>2218.48739495798</v>
      </c>
      <c r="AN22" s="33" t="n">
        <f aca="false">Umsatz!AI18</f>
        <v>2218.48739495798</v>
      </c>
      <c r="AO22" s="33" t="n">
        <f aca="false">Umsatz!AJ18</f>
        <v>2218.48739495798</v>
      </c>
      <c r="AP22" s="33" t="n">
        <f aca="false">Umsatz!AK18</f>
        <v>2218.48739495798</v>
      </c>
      <c r="AQ22" s="33" t="n">
        <f aca="false">Umsatz!AL18</f>
        <v>2218.48739495798</v>
      </c>
      <c r="AR22" s="33" t="n">
        <f aca="false">Umsatz!AM18</f>
        <v>2218.48739495798</v>
      </c>
      <c r="AS22" s="33" t="n">
        <f aca="false">Umsatz!AN18</f>
        <v>2218.48739495798</v>
      </c>
      <c r="AT22" s="33" t="n">
        <f aca="false">Umsatz!AO18</f>
        <v>2218.48739495798</v>
      </c>
      <c r="AU22" s="33" t="n">
        <f aca="false">Umsatz!AP18</f>
        <v>2218.48739495798</v>
      </c>
      <c r="AV22" s="33" t="n">
        <f aca="false">Umsatz!AQ18</f>
        <v>2218.48739495798</v>
      </c>
      <c r="AW22" s="33" t="n">
        <f aca="false">Umsatz!AR18</f>
        <v>2218.48739495798</v>
      </c>
      <c r="AX22" s="33" t="n">
        <f aca="false">Umsatz!AS18</f>
        <v>2218.48739495798</v>
      </c>
      <c r="AY22" s="33" t="n">
        <f aca="false">Umsatz!AT18</f>
        <v>2218.48739495798</v>
      </c>
      <c r="AZ22" s="33" t="n">
        <f aca="false">Umsatz!AU18</f>
        <v>2218.48739495798</v>
      </c>
      <c r="BA22" s="33" t="n">
        <f aca="false">Umsatz!AV18</f>
        <v>2218.48739495798</v>
      </c>
      <c r="BB22" s="33" t="n">
        <f aca="false">Umsatz!AW18</f>
        <v>2218.48739495798</v>
      </c>
      <c r="BC22" s="33" t="n">
        <f aca="false">Umsatz!AX18</f>
        <v>2218.48739495798</v>
      </c>
      <c r="BD22" s="33" t="n">
        <f aca="false">Umsatz!AY18</f>
        <v>2218.48739495798</v>
      </c>
      <c r="BE22" s="33" t="n">
        <f aca="false">Umsatz!AZ18</f>
        <v>2218.48739495798</v>
      </c>
      <c r="BF22" s="33" t="n">
        <f aca="false">Umsatz!BA18</f>
        <v>2218.48739495798</v>
      </c>
      <c r="BG22" s="33" t="n">
        <f aca="false">Umsatz!BB18</f>
        <v>2218.48739495798</v>
      </c>
      <c r="BH22" s="33" t="n">
        <f aca="false">Umsatz!BC18</f>
        <v>2218.48739495798</v>
      </c>
      <c r="BI22" s="33" t="n">
        <f aca="false">Umsatz!BD18</f>
        <v>2218.48739495798</v>
      </c>
      <c r="BJ22" s="33" t="n">
        <f aca="false">Umsatz!BE18</f>
        <v>2218.48739495798</v>
      </c>
      <c r="BK22" s="33" t="n">
        <f aca="false">Umsatz!BF18</f>
        <v>2218.48739495798</v>
      </c>
      <c r="BL22" s="33" t="n">
        <f aca="false">Umsatz!BG18</f>
        <v>2218.48739495798</v>
      </c>
      <c r="BM22" s="33" t="n">
        <f aca="false">Umsatz!BH18</f>
        <v>2218.48739495798</v>
      </c>
      <c r="BN22" s="33" t="n">
        <f aca="false">Umsatz!BI18</f>
        <v>2218.48739495798</v>
      </c>
      <c r="BO22" s="33" t="n">
        <f aca="false">Umsatz!BJ18</f>
        <v>2218.48739495798</v>
      </c>
      <c r="BQ22" s="19" t="n">
        <v>1</v>
      </c>
    </row>
    <row r="23" customFormat="false" ht="15" hidden="false" customHeight="false" outlineLevel="0" collapsed="false">
      <c r="B23" s="8" t="s">
        <v>387</v>
      </c>
      <c r="C23" s="35" t="n">
        <f aca="false">SUM(C7:C22)</f>
        <v>0</v>
      </c>
      <c r="D23" s="35" t="n">
        <f aca="false">SUM(D7:D22)</f>
        <v>1000</v>
      </c>
      <c r="E23" s="35" t="n">
        <f aca="false">SUM(E7:E22)</f>
        <v>16912.1666666667</v>
      </c>
      <c r="F23" s="35" t="n">
        <f aca="false">SUM(F7:F22)</f>
        <v>42020.6666666667</v>
      </c>
      <c r="G23" s="35" t="n">
        <f aca="false">SUM(G7:G22)</f>
        <v>49298.6666666667</v>
      </c>
      <c r="H23" s="35" t="n">
        <f aca="false">SUM(H7:H22)</f>
        <v>77220.2792854902</v>
      </c>
      <c r="I23" s="35" t="n">
        <f aca="false">SUM(I7:I22)</f>
        <v>77409.0624584643</v>
      </c>
      <c r="J23" s="35" t="n">
        <f aca="false">SUM(J7:J22)</f>
        <v>77593.692401633</v>
      </c>
      <c r="K23" s="35" t="n">
        <f aca="false">SUM(K7:K22)</f>
        <v>71734.4284188251</v>
      </c>
      <c r="L23" s="35" t="n">
        <f aca="false">SUM(L7:L22)</f>
        <v>71853.9467044121</v>
      </c>
      <c r="M23" s="35" t="n">
        <f aca="false">SUM(M7:M22)</f>
        <v>71970.8355877161</v>
      </c>
      <c r="N23" s="35" t="n">
        <f aca="false">SUM(N7:N22)</f>
        <v>72085.1529155875</v>
      </c>
      <c r="O23" s="35" t="n">
        <f aca="false">SUM(O7:O22)</f>
        <v>72196.9552622457</v>
      </c>
      <c r="P23" s="35" t="n">
        <f aca="false">SUM(P7:P22)</f>
        <v>72306.2979572774</v>
      </c>
      <c r="Q23" s="35" t="n">
        <f aca="false">SUM(Q7:Q22)</f>
        <v>72413.2351130184</v>
      </c>
      <c r="R23" s="35" t="n">
        <f aca="false">SUM(R7:R22)</f>
        <v>72517.8196513331</v>
      </c>
      <c r="S23" s="35" t="n">
        <f aca="false">SUM(S7:S22)</f>
        <v>72620.1033298049</v>
      </c>
      <c r="T23" s="35" t="n">
        <f aca="false">SUM(T7:T22)</f>
        <v>77489.2973505436</v>
      </c>
      <c r="U23" s="35" t="n">
        <f aca="false">SUM(U7:U22)</f>
        <v>77572.8607272193</v>
      </c>
      <c r="V23" s="35" t="n">
        <f aca="false">SUM(V7:V22)</f>
        <v>77654.5857096082</v>
      </c>
      <c r="W23" s="35" t="n">
        <f aca="false">SUM(W7:W22)</f>
        <v>77734.5127423845</v>
      </c>
      <c r="X23" s="35" t="n">
        <f aca="false">SUM(X7:X22)</f>
        <v>77812.6813804397</v>
      </c>
      <c r="Y23" s="35" t="n">
        <f aca="false">SUM(Y7:Y22)</f>
        <v>77889.1303084577</v>
      </c>
      <c r="Z23" s="35" t="n">
        <f aca="false">SUM(Z7:Z22)</f>
        <v>77963.8973600593</v>
      </c>
      <c r="AA23" s="35" t="n">
        <f aca="false">SUM(AA7:AA22)</f>
        <v>78037.0195365257</v>
      </c>
      <c r="AB23" s="35" t="n">
        <f aca="false">SUM(AB7:AB22)</f>
        <v>78108.5330251098</v>
      </c>
      <c r="AC23" s="35" t="n">
        <f aca="false">SUM(AC7:AC22)</f>
        <v>78178.473216945</v>
      </c>
      <c r="AD23" s="35" t="n">
        <f aca="false">SUM(AD7:AD22)</f>
        <v>78246.8747245599</v>
      </c>
      <c r="AE23" s="35" t="n">
        <f aca="false">SUM(AE7:AE22)</f>
        <v>78313.7713990073</v>
      </c>
      <c r="AF23" s="35" t="n">
        <f aca="false">SUM(AF7:AF22)</f>
        <v>79552.7911750079</v>
      </c>
      <c r="AG23" s="35" t="n">
        <f aca="false">SUM(AG7:AG22)</f>
        <v>79602.783940382</v>
      </c>
      <c r="AH23" s="35" t="n">
        <f aca="false">SUM(AH7:AH22)</f>
        <v>79651.6768649178</v>
      </c>
      <c r="AI23" s="35" t="n">
        <f aca="false">SUM(AI7:AI22)</f>
        <v>79699.4941451138</v>
      </c>
      <c r="AJ23" s="35" t="n">
        <f aca="false">SUM(AJ7:AJ22)</f>
        <v>79732.2054008368</v>
      </c>
      <c r="AK23" s="35" t="n">
        <f aca="false">SUM(AK7:AK22)</f>
        <v>79741.2739366246</v>
      </c>
      <c r="AL23" s="35" t="n">
        <f aca="false">SUM(AL7:AL22)</f>
        <v>79741.2739366246</v>
      </c>
      <c r="AM23" s="35" t="n">
        <f aca="false">SUM(AM7:AM22)</f>
        <v>79741.2739366246</v>
      </c>
      <c r="AN23" s="35" t="n">
        <f aca="false">SUM(AN7:AN22)</f>
        <v>79741.2739366246</v>
      </c>
      <c r="AO23" s="35" t="n">
        <f aca="false">SUM(AO7:AO22)</f>
        <v>79741.2739366246</v>
      </c>
      <c r="AP23" s="35" t="n">
        <f aca="false">SUM(AP7:AP22)</f>
        <v>79741.2739366246</v>
      </c>
      <c r="AQ23" s="35" t="n">
        <f aca="false">SUM(AQ7:AQ22)</f>
        <v>79741.2739366246</v>
      </c>
      <c r="AR23" s="35" t="n">
        <f aca="false">SUM(AR7:AR22)</f>
        <v>80952.3111576997</v>
      </c>
      <c r="AS23" s="35" t="n">
        <f aca="false">SUM(AS7:AS22)</f>
        <v>80952.3111576997</v>
      </c>
      <c r="AT23" s="35" t="n">
        <f aca="false">SUM(AT7:AT22)</f>
        <v>80952.3111576997</v>
      </c>
      <c r="AU23" s="35" t="n">
        <f aca="false">SUM(AU7:AU22)</f>
        <v>80952.3111576997</v>
      </c>
      <c r="AV23" s="35" t="n">
        <f aca="false">SUM(AV7:AV22)</f>
        <v>80952.3111576997</v>
      </c>
      <c r="AW23" s="35" t="n">
        <f aca="false">SUM(AW7:AW22)</f>
        <v>80952.3111576997</v>
      </c>
      <c r="AX23" s="35" t="n">
        <f aca="false">SUM(AX7:AX22)</f>
        <v>80952.3111576997</v>
      </c>
      <c r="AY23" s="35" t="n">
        <f aca="false">SUM(AY7:AY22)</f>
        <v>80952.3111576997</v>
      </c>
      <c r="AZ23" s="35" t="n">
        <f aca="false">SUM(AZ7:AZ22)</f>
        <v>80952.3111576997</v>
      </c>
      <c r="BA23" s="35" t="n">
        <f aca="false">SUM(BA7:BA22)</f>
        <v>80952.3111576997</v>
      </c>
      <c r="BB23" s="35" t="n">
        <f aca="false">SUM(BB7:BB22)</f>
        <v>80952.3111576997</v>
      </c>
      <c r="BC23" s="35" t="n">
        <f aca="false">SUM(BC7:BC22)</f>
        <v>80952.3111576997</v>
      </c>
      <c r="BD23" s="35" t="n">
        <f aca="false">SUM(BD7:BD22)</f>
        <v>82193.1936547855</v>
      </c>
      <c r="BE23" s="35" t="n">
        <f aca="false">SUM(BE7:BE22)</f>
        <v>82193.1936547855</v>
      </c>
      <c r="BF23" s="35" t="n">
        <f aca="false">SUM(BF7:BF22)</f>
        <v>82193.1936547855</v>
      </c>
      <c r="BG23" s="35" t="n">
        <f aca="false">SUM(BG7:BG22)</f>
        <v>82193.1936547855</v>
      </c>
      <c r="BH23" s="35" t="n">
        <f aca="false">SUM(BH7:BH22)</f>
        <v>82193.1936547855</v>
      </c>
      <c r="BI23" s="35" t="n">
        <f aca="false">SUM(BI7:BI22)</f>
        <v>82193.1936547855</v>
      </c>
      <c r="BJ23" s="35" t="n">
        <f aca="false">SUM(BJ7:BJ22)</f>
        <v>82193.1936547855</v>
      </c>
      <c r="BK23" s="35" t="n">
        <f aca="false">SUM(BK7:BK22)</f>
        <v>82193.1936547855</v>
      </c>
      <c r="BL23" s="35" t="n">
        <f aca="false">SUM(BL7:BL22)</f>
        <v>82193.1936547855</v>
      </c>
      <c r="BM23" s="35" t="n">
        <f aca="false">SUM(BM7:BM22)</f>
        <v>82193.1936547855</v>
      </c>
      <c r="BN23" s="35" t="n">
        <f aca="false">SUM(BN7:BN22)</f>
        <v>82193.1936547855</v>
      </c>
      <c r="BO23" s="35" t="n">
        <f aca="false">SUM(BO7:BO22)</f>
        <v>82193.1936547855</v>
      </c>
    </row>
    <row r="24" customFormat="false" ht="15" hidden="false" customHeight="false" outlineLevel="0" collapsed="false">
      <c r="B24" s="2" t="s">
        <v>388</v>
      </c>
      <c r="C24" s="25" t="n">
        <f aca="false">SUMPRODUCT(C7:C22,$BQ$7:$BQ$22)-IF(UST_Miete=0,C8+C9,0)</f>
        <v>0</v>
      </c>
      <c r="D24" s="25" t="n">
        <f aca="false">SUMPRODUCT(D7:D22,$BQ$7:$BQ$22)-IF(UST_Miete=0,D8+D9,0)</f>
        <v>1000</v>
      </c>
      <c r="E24" s="25" t="n">
        <f aca="false">SUMPRODUCT(E7:E22,$BQ$7:$BQ$22)-IF(UST_Miete=0,E8+E9,0)</f>
        <v>12666.6666666667</v>
      </c>
      <c r="F24" s="25" t="n">
        <f aca="false">SUMPRODUCT(F7:F22,$BQ$7:$BQ$22)-IF(UST_Miete=0,F8+F9,0)</f>
        <v>33408.3666666667</v>
      </c>
      <c r="G24" s="25" t="n">
        <f aca="false">SUMPRODUCT(G7:G22,$BQ$7:$BQ$22)-IF(UST_Miete=0,G8+G9,0)</f>
        <v>33408.3666666667</v>
      </c>
      <c r="H24" s="25" t="n">
        <f aca="false">SUMPRODUCT(H7:H22,$BQ$7:$BQ$22)-IF(UST_Miete=0,H8+H9,0)</f>
        <v>47568.0637254902</v>
      </c>
      <c r="I24" s="25" t="n">
        <f aca="false">SUMPRODUCT(I7:I22,$BQ$7:$BQ$22)-IF(UST_Miete=0,I8+I9,0)</f>
        <v>47700.0079607843</v>
      </c>
      <c r="J24" s="25" t="n">
        <f aca="false">SUMPRODUCT(J7:J22,$BQ$7:$BQ$22)-IF(UST_Miete=0,J8+J9,0)</f>
        <v>47829.049422902</v>
      </c>
      <c r="K24" s="25" t="n">
        <f aca="false">SUMPRODUCT(K7:K22,$BQ$7:$BQ$22)-IF(UST_Miete=0,K8+K9,0)</f>
        <v>41935.0839056261</v>
      </c>
      <c r="L24" s="25" t="n">
        <f aca="false">SUMPRODUCT(L7:L22,$BQ$7:$BQ$22)-IF(UST_Miete=0,L8+L9,0)</f>
        <v>42018.6175625035</v>
      </c>
      <c r="M24" s="25" t="n">
        <f aca="false">SUMPRODUCT(M7:M22,$BQ$7:$BQ$22)-IF(UST_Miete=0,M8+M9,0)</f>
        <v>42100.3134789295</v>
      </c>
      <c r="N24" s="25" t="n">
        <f aca="false">SUMPRODUCT(N7:N22,$BQ$7:$BQ$22)-IF(UST_Miete=0,N8+N9,0)</f>
        <v>42180.2120851942</v>
      </c>
      <c r="O24" s="25" t="n">
        <f aca="false">SUMPRODUCT(O7:O22,$BQ$7:$BQ$22)-IF(UST_Miete=0,O8+O9,0)</f>
        <v>42258.352922121</v>
      </c>
      <c r="P24" s="25" t="n">
        <f aca="false">SUMPRODUCT(P7:P22,$BQ$7:$BQ$22)-IF(UST_Miete=0,P8+P9,0)</f>
        <v>42334.7746606355</v>
      </c>
      <c r="Q24" s="25" t="n">
        <f aca="false">SUMPRODUCT(Q7:Q22,$BQ$7:$BQ$22)-IF(UST_Miete=0,Q8+Q9,0)</f>
        <v>42409.5151209026</v>
      </c>
      <c r="R24" s="25" t="n">
        <f aca="false">SUMPRODUCT(R7:R22,$BQ$7:$BQ$22)-IF(UST_Miete=0,R8+R9,0)</f>
        <v>42482.6112910439</v>
      </c>
      <c r="S24" s="25" t="n">
        <f aca="false">SUMPRODUCT(S7:S22,$BQ$7:$BQ$22)-IF(UST_Miete=0,S8+S9,0)</f>
        <v>42554.0993454421</v>
      </c>
      <c r="T24" s="25" t="n">
        <f aca="false">SUMPRODUCT(T7:T22,$BQ$7:$BQ$22)-IF(UST_Miete=0,T8+T9,0)</f>
        <v>42954.7906458367</v>
      </c>
      <c r="U24" s="25" t="n">
        <f aca="false">SUMPRODUCT(U7:U22,$BQ$7:$BQ$22)-IF(UST_Miete=0,U8+U9,0)</f>
        <v>43013.194716816</v>
      </c>
      <c r="V24" s="25" t="n">
        <f aca="false">SUMPRODUCT(V7:V22,$BQ$7:$BQ$22)-IF(UST_Miete=0,V8+V9,0)</f>
        <v>43070.3138982337</v>
      </c>
      <c r="W24" s="25" t="n">
        <f aca="false">SUMPRODUCT(W7:W22,$BQ$7:$BQ$22)-IF(UST_Miete=0,W8+W9,0)</f>
        <v>43126.1764576603</v>
      </c>
      <c r="X24" s="25" t="n">
        <f aca="false">SUMPRODUCT(X7:X22,$BQ$7:$BQ$22)-IF(UST_Miete=0,X8+X9,0)</f>
        <v>43180.8100407794</v>
      </c>
      <c r="Y24" s="25" t="n">
        <f aca="false">SUMPRODUCT(Y7:Y22,$BQ$7:$BQ$22)-IF(UST_Miete=0,Y8+Y9,0)</f>
        <v>43234.2416850699</v>
      </c>
      <c r="Z24" s="25" t="n">
        <f aca="false">SUMPRODUCT(Z7:Z22,$BQ$7:$BQ$22)-IF(UST_Miete=0,Z8+Z9,0)</f>
        <v>43286.4978331861</v>
      </c>
      <c r="AA24" s="25" t="n">
        <f aca="false">SUMPRODUCT(AA7:AA22,$BQ$7:$BQ$22)-IF(UST_Miete=0,AA8+AA9,0)</f>
        <v>43337.6043460437</v>
      </c>
      <c r="AB24" s="25" t="n">
        <f aca="false">SUMPRODUCT(AB7:AB22,$BQ$7:$BQ$22)-IF(UST_Miete=0,AB8+AB9,0)</f>
        <v>43387.5865156184</v>
      </c>
      <c r="AC24" s="25" t="n">
        <f aca="false">SUMPRODUCT(AC7:AC22,$BQ$7:$BQ$22)-IF(UST_Miete=0,AC8+AC9,0)</f>
        <v>43436.4690774624</v>
      </c>
      <c r="AD24" s="25" t="n">
        <f aca="false">SUMPRODUCT(AD7:AD22,$BQ$7:$BQ$22)-IF(UST_Miete=0,AD8+AD9,0)</f>
        <v>43484.2762229459</v>
      </c>
      <c r="AE24" s="25" t="n">
        <f aca="false">SUMPRODUCT(AE7:AE22,$BQ$7:$BQ$22)-IF(UST_Miete=0,AE8+AE9,0)</f>
        <v>43531.0316112288</v>
      </c>
      <c r="AF24" s="25" t="n">
        <f aca="false">SUMPRODUCT(AF7:AF22,$BQ$7:$BQ$22)-IF(UST_Miete=0,AF8+AF9,0)</f>
        <v>43914.2507241627</v>
      </c>
      <c r="AG24" s="25" t="n">
        <f aca="false">SUMPRODUCT(AG7:AG22,$BQ$7:$BQ$22)-IF(UST_Miete=0,AG8+AG9,0)</f>
        <v>43948.9983957254</v>
      </c>
      <c r="AH24" s="25" t="n">
        <f aca="false">SUMPRODUCT(AH7:AH22,$BQ$7:$BQ$22)-IF(UST_Miete=0,AH8+AH9,0)</f>
        <v>43982.9816185136</v>
      </c>
      <c r="AI24" s="25" t="n">
        <f aca="false">SUMPRODUCT(AI7:AI22,$BQ$7:$BQ$22)-IF(UST_Miete=0,AI8+AI9,0)</f>
        <v>44016.2172104006</v>
      </c>
      <c r="AJ24" s="25" t="n">
        <f aca="false">SUMPRODUCT(AJ7:AJ22,$BQ$7:$BQ$22)-IF(UST_Miete=0,AJ8+AJ9,0)</f>
        <v>44038.9532995479</v>
      </c>
      <c r="AK24" s="25" t="n">
        <f aca="false">SUMPRODUCT(AK7:AK22,$BQ$7:$BQ$22)-IF(UST_Miete=0,AK8+AK9,0)</f>
        <v>44045.2564216247</v>
      </c>
      <c r="AL24" s="25" t="n">
        <f aca="false">SUMPRODUCT(AL7:AL22,$BQ$7:$BQ$22)-IF(UST_Miete=0,AL8+AL9,0)</f>
        <v>44045.2564216247</v>
      </c>
      <c r="AM24" s="25" t="n">
        <f aca="false">SUMPRODUCT(AM7:AM22,$BQ$7:$BQ$22)-IF(UST_Miete=0,AM8+AM9,0)</f>
        <v>44045.2564216247</v>
      </c>
      <c r="AN24" s="25" t="n">
        <f aca="false">SUMPRODUCT(AN7:AN22,$BQ$7:$BQ$22)-IF(UST_Miete=0,AN8+AN9,0)</f>
        <v>44045.2564216247</v>
      </c>
      <c r="AO24" s="25" t="n">
        <f aca="false">SUMPRODUCT(AO7:AO22,$BQ$7:$BQ$22)-IF(UST_Miete=0,AO8+AO9,0)</f>
        <v>44045.2564216247</v>
      </c>
      <c r="AP24" s="25" t="n">
        <f aca="false">SUMPRODUCT(AP7:AP22,$BQ$7:$BQ$22)-IF(UST_Miete=0,AP8+AP9,0)</f>
        <v>44045.2564216247</v>
      </c>
      <c r="AQ24" s="25" t="n">
        <f aca="false">SUMPRODUCT(AQ7:AQ22,$BQ$7:$BQ$22)-IF(UST_Miete=0,AQ8+AQ9,0)</f>
        <v>44045.2564216247</v>
      </c>
      <c r="AR24" s="25" t="n">
        <f aca="false">SUMPRODUCT(AR7:AR22,$BQ$7:$BQ$22)-IF(UST_Miete=0,AR8+AR9,0)</f>
        <v>44394.6414688247</v>
      </c>
      <c r="AS24" s="25" t="n">
        <f aca="false">SUMPRODUCT(AS7:AS22,$BQ$7:$BQ$22)-IF(UST_Miete=0,AS8+AS9,0)</f>
        <v>44394.6414688247</v>
      </c>
      <c r="AT24" s="25" t="n">
        <f aca="false">SUMPRODUCT(AT7:AT22,$BQ$7:$BQ$22)-IF(UST_Miete=0,AT8+AT9,0)</f>
        <v>44394.6414688247</v>
      </c>
      <c r="AU24" s="25" t="n">
        <f aca="false">SUMPRODUCT(AU7:AU22,$BQ$7:$BQ$22)-IF(UST_Miete=0,AU8+AU9,0)</f>
        <v>44394.6414688247</v>
      </c>
      <c r="AV24" s="25" t="n">
        <f aca="false">SUMPRODUCT(AV7:AV22,$BQ$7:$BQ$22)-IF(UST_Miete=0,AV8+AV9,0)</f>
        <v>44394.6414688247</v>
      </c>
      <c r="AW24" s="25" t="n">
        <f aca="false">SUMPRODUCT(AW7:AW22,$BQ$7:$BQ$22)-IF(UST_Miete=0,AW8+AW9,0)</f>
        <v>44394.6414688247</v>
      </c>
      <c r="AX24" s="25" t="n">
        <f aca="false">SUMPRODUCT(AX7:AX22,$BQ$7:$BQ$22)-IF(UST_Miete=0,AX8+AX9,0)</f>
        <v>44394.6414688247</v>
      </c>
      <c r="AY24" s="25" t="n">
        <f aca="false">SUMPRODUCT(AY7:AY22,$BQ$7:$BQ$22)-IF(UST_Miete=0,AY8+AY9,0)</f>
        <v>44394.6414688247</v>
      </c>
      <c r="AZ24" s="25" t="n">
        <f aca="false">SUMPRODUCT(AZ7:AZ22,$BQ$7:$BQ$22)-IF(UST_Miete=0,AZ8+AZ9,0)</f>
        <v>44394.6414688247</v>
      </c>
      <c r="BA24" s="25" t="n">
        <f aca="false">SUMPRODUCT(BA7:BA22,$BQ$7:$BQ$22)-IF(UST_Miete=0,BA8+BA9,0)</f>
        <v>44394.6414688247</v>
      </c>
      <c r="BB24" s="25" t="n">
        <f aca="false">SUMPRODUCT(BB7:BB22,$BQ$7:$BQ$22)-IF(UST_Miete=0,BB8+BB9,0)</f>
        <v>44394.6414688247</v>
      </c>
      <c r="BC24" s="25" t="n">
        <f aca="false">SUMPRODUCT(BC7:BC22,$BQ$7:$BQ$22)-IF(UST_Miete=0,BC8+BC9,0)</f>
        <v>44394.6414688247</v>
      </c>
      <c r="BD24" s="25" t="n">
        <f aca="false">SUMPRODUCT(BD7:BD22,$BQ$7:$BQ$22)-IF(UST_Miete=0,BD8+BD9,0)</f>
        <v>44751.0142169687</v>
      </c>
      <c r="BE24" s="25" t="n">
        <f aca="false">SUMPRODUCT(BE7:BE22,$BQ$7:$BQ$22)-IF(UST_Miete=0,BE8+BE9,0)</f>
        <v>44751.0142169687</v>
      </c>
      <c r="BF24" s="25" t="n">
        <f aca="false">SUMPRODUCT(BF7:BF22,$BQ$7:$BQ$22)-IF(UST_Miete=0,BF8+BF9,0)</f>
        <v>44751.0142169687</v>
      </c>
      <c r="BG24" s="25" t="n">
        <f aca="false">SUMPRODUCT(BG7:BG22,$BQ$7:$BQ$22)-IF(UST_Miete=0,BG8+BG9,0)</f>
        <v>44751.0142169687</v>
      </c>
      <c r="BH24" s="25" t="n">
        <f aca="false">SUMPRODUCT(BH7:BH22,$BQ$7:$BQ$22)-IF(UST_Miete=0,BH8+BH9,0)</f>
        <v>44751.0142169687</v>
      </c>
      <c r="BI24" s="25" t="n">
        <f aca="false">SUMPRODUCT(BI7:BI22,$BQ$7:$BQ$22)-IF(UST_Miete=0,BI8+BI9,0)</f>
        <v>44751.0142169687</v>
      </c>
      <c r="BJ24" s="25" t="n">
        <f aca="false">SUMPRODUCT(BJ7:BJ22,$BQ$7:$BQ$22)-IF(UST_Miete=0,BJ8+BJ9,0)</f>
        <v>44751.0142169687</v>
      </c>
      <c r="BK24" s="25" t="n">
        <f aca="false">SUMPRODUCT(BK7:BK22,$BQ$7:$BQ$22)-IF(UST_Miete=0,BK8+BK9,0)</f>
        <v>44751.0142169687</v>
      </c>
      <c r="BL24" s="25" t="n">
        <f aca="false">SUMPRODUCT(BL7:BL22,$BQ$7:$BQ$22)-IF(UST_Miete=0,BL8+BL9,0)</f>
        <v>44751.0142169687</v>
      </c>
      <c r="BM24" s="25" t="n">
        <f aca="false">SUMPRODUCT(BM7:BM22,$BQ$7:$BQ$22)-IF(UST_Miete=0,BM8+BM9,0)</f>
        <v>44751.0142169687</v>
      </c>
      <c r="BN24" s="25" t="n">
        <f aca="false">SUMPRODUCT(BN7:BN22,$BQ$7:$BQ$22)-IF(UST_Miete=0,BN8+BN9,0)</f>
        <v>44751.0142169687</v>
      </c>
      <c r="BO24" s="25" t="n">
        <f aca="false">SUMPRODUCT(BO7:BO22,$BQ$7:$BQ$22)-IF(UST_Miete=0,BO8+BO9,0)</f>
        <v>44751.0142169687</v>
      </c>
    </row>
    <row r="25" customFormat="false" ht="15" hidden="false" customHeight="false" outlineLevel="0" collapsed="false">
      <c r="B25" s="2" t="s">
        <v>389</v>
      </c>
      <c r="C25" s="25" t="n">
        <f aca="false">C24*UST</f>
        <v>0</v>
      </c>
      <c r="D25" s="25" t="n">
        <f aca="false">D24*UST</f>
        <v>190</v>
      </c>
      <c r="E25" s="25" t="n">
        <f aca="false">E24*UST</f>
        <v>2406.66666666667</v>
      </c>
      <c r="F25" s="25" t="n">
        <f aca="false">F24*UST</f>
        <v>6347.58966666667</v>
      </c>
      <c r="G25" s="25" t="n">
        <f aca="false">G24*UST</f>
        <v>6347.58966666667</v>
      </c>
      <c r="H25" s="25" t="n">
        <f aca="false">H24*UST</f>
        <v>9037.93210784314</v>
      </c>
      <c r="I25" s="25" t="n">
        <f aca="false">I24*UST</f>
        <v>9063.00151254902</v>
      </c>
      <c r="J25" s="25" t="n">
        <f aca="false">J24*UST</f>
        <v>9087.51939035137</v>
      </c>
      <c r="K25" s="25" t="n">
        <f aca="false">K24*UST</f>
        <v>7967.66594206897</v>
      </c>
      <c r="L25" s="25" t="n">
        <f aca="false">L24*UST</f>
        <v>7983.53733687566</v>
      </c>
      <c r="M25" s="25" t="n">
        <f aca="false">M24*UST</f>
        <v>7999.05956099661</v>
      </c>
      <c r="N25" s="25" t="n">
        <f aca="false">N24*UST</f>
        <v>8014.2402961869</v>
      </c>
      <c r="O25" s="25" t="n">
        <f aca="false">O24*UST</f>
        <v>8029.087055203</v>
      </c>
      <c r="P25" s="25" t="n">
        <f aca="false">P24*UST</f>
        <v>8043.60718552075</v>
      </c>
      <c r="Q25" s="25" t="n">
        <f aca="false">Q24*UST</f>
        <v>8057.8078729715</v>
      </c>
      <c r="R25" s="25" t="n">
        <f aca="false">R24*UST</f>
        <v>8071.69614529834</v>
      </c>
      <c r="S25" s="25" t="n">
        <f aca="false">S24*UST</f>
        <v>8085.27887563399</v>
      </c>
      <c r="T25" s="25" t="n">
        <f aca="false">T24*UST</f>
        <v>8161.41022270898</v>
      </c>
      <c r="U25" s="25" t="n">
        <f aca="false">U24*UST</f>
        <v>8172.50699619504</v>
      </c>
      <c r="V25" s="25" t="n">
        <f aca="false">V24*UST</f>
        <v>8183.35964066441</v>
      </c>
      <c r="W25" s="25" t="n">
        <f aca="false">W24*UST</f>
        <v>8193.97352695545</v>
      </c>
      <c r="X25" s="25" t="n">
        <f aca="false">X24*UST</f>
        <v>8204.35390774809</v>
      </c>
      <c r="Y25" s="25" t="n">
        <f aca="false">Y24*UST</f>
        <v>8214.50592016329</v>
      </c>
      <c r="Z25" s="25" t="n">
        <f aca="false">Z24*UST</f>
        <v>8224.43458830535</v>
      </c>
      <c r="AA25" s="25" t="n">
        <f aca="false">AA24*UST</f>
        <v>8234.14482574829</v>
      </c>
      <c r="AB25" s="25" t="n">
        <f aca="false">AB24*UST</f>
        <v>8243.64143796749</v>
      </c>
      <c r="AC25" s="25" t="n">
        <f aca="false">AC24*UST</f>
        <v>8252.92912471786</v>
      </c>
      <c r="AD25" s="25" t="n">
        <f aca="false">AD24*UST</f>
        <v>8262.01248235973</v>
      </c>
      <c r="AE25" s="25" t="n">
        <f aca="false">AE24*UST</f>
        <v>8270.89600613347</v>
      </c>
      <c r="AF25" s="25" t="n">
        <f aca="false">AF24*UST</f>
        <v>8343.70763759092</v>
      </c>
      <c r="AG25" s="25" t="n">
        <f aca="false">AG24*UST</f>
        <v>8350.30969518782</v>
      </c>
      <c r="AH25" s="25" t="n">
        <f aca="false">AH24*UST</f>
        <v>8356.76650751759</v>
      </c>
      <c r="AI25" s="25" t="n">
        <f aca="false">AI24*UST</f>
        <v>8363.08126997611</v>
      </c>
      <c r="AJ25" s="25" t="n">
        <f aca="false">AJ24*UST</f>
        <v>8367.40112691409</v>
      </c>
      <c r="AK25" s="25" t="n">
        <f aca="false">AK24*UST</f>
        <v>8368.59872010869</v>
      </c>
      <c r="AL25" s="25" t="n">
        <f aca="false">AL24*UST</f>
        <v>8368.59872010869</v>
      </c>
      <c r="AM25" s="25" t="n">
        <f aca="false">AM24*UST</f>
        <v>8368.59872010869</v>
      </c>
      <c r="AN25" s="25" t="n">
        <f aca="false">AN24*UST</f>
        <v>8368.59872010869</v>
      </c>
      <c r="AO25" s="25" t="n">
        <f aca="false">AO24*UST</f>
        <v>8368.59872010869</v>
      </c>
      <c r="AP25" s="25" t="n">
        <f aca="false">AP24*UST</f>
        <v>8368.59872010869</v>
      </c>
      <c r="AQ25" s="25" t="n">
        <f aca="false">AQ24*UST</f>
        <v>8368.59872010869</v>
      </c>
      <c r="AR25" s="25" t="n">
        <f aca="false">AR24*UST</f>
        <v>8434.98187907668</v>
      </c>
      <c r="AS25" s="25" t="n">
        <f aca="false">AS24*UST</f>
        <v>8434.98187907668</v>
      </c>
      <c r="AT25" s="25" t="n">
        <f aca="false">AT24*UST</f>
        <v>8434.98187907668</v>
      </c>
      <c r="AU25" s="25" t="n">
        <f aca="false">AU24*UST</f>
        <v>8434.98187907668</v>
      </c>
      <c r="AV25" s="25" t="n">
        <f aca="false">AV24*UST</f>
        <v>8434.98187907668</v>
      </c>
      <c r="AW25" s="25" t="n">
        <f aca="false">AW24*UST</f>
        <v>8434.98187907668</v>
      </c>
      <c r="AX25" s="25" t="n">
        <f aca="false">AX24*UST</f>
        <v>8434.98187907668</v>
      </c>
      <c r="AY25" s="25" t="n">
        <f aca="false">AY24*UST</f>
        <v>8434.98187907668</v>
      </c>
      <c r="AZ25" s="25" t="n">
        <f aca="false">AZ24*UST</f>
        <v>8434.98187907668</v>
      </c>
      <c r="BA25" s="25" t="n">
        <f aca="false">BA24*UST</f>
        <v>8434.98187907668</v>
      </c>
      <c r="BB25" s="25" t="n">
        <f aca="false">BB24*UST</f>
        <v>8434.98187907668</v>
      </c>
      <c r="BC25" s="25" t="n">
        <f aca="false">BC24*UST</f>
        <v>8434.98187907668</v>
      </c>
      <c r="BD25" s="25" t="n">
        <f aca="false">BD24*UST</f>
        <v>8502.69270122404</v>
      </c>
      <c r="BE25" s="25" t="n">
        <f aca="false">BE24*UST</f>
        <v>8502.69270122404</v>
      </c>
      <c r="BF25" s="25" t="n">
        <f aca="false">BF24*UST</f>
        <v>8502.69270122404</v>
      </c>
      <c r="BG25" s="25" t="n">
        <f aca="false">BG24*UST</f>
        <v>8502.69270122404</v>
      </c>
      <c r="BH25" s="25" t="n">
        <f aca="false">BH24*UST</f>
        <v>8502.69270122404</v>
      </c>
      <c r="BI25" s="25" t="n">
        <f aca="false">BI24*UST</f>
        <v>8502.69270122404</v>
      </c>
      <c r="BJ25" s="25" t="n">
        <f aca="false">BJ24*UST</f>
        <v>8502.69270122404</v>
      </c>
      <c r="BK25" s="25" t="n">
        <f aca="false">BK24*UST</f>
        <v>8502.69270122404</v>
      </c>
      <c r="BL25" s="25" t="n">
        <f aca="false">BL24*UST</f>
        <v>8502.69270122404</v>
      </c>
      <c r="BM25" s="25" t="n">
        <f aca="false">BM24*UST</f>
        <v>8502.69270122404</v>
      </c>
      <c r="BN25" s="25" t="n">
        <f aca="false">BN24*UST</f>
        <v>8502.69270122404</v>
      </c>
      <c r="BO25" s="25" t="n">
        <f aca="false">BO24*UST</f>
        <v>8502.69270122404</v>
      </c>
    </row>
    <row r="26" customFormat="false" ht="15" hidden="false" customHeight="false" outlineLevel="0" collapsed="false">
      <c r="B26" s="3" t="s">
        <v>390</v>
      </c>
    </row>
    <row r="28" customFormat="false" ht="15" hidden="false" customHeight="false" outlineLevel="0" collapsed="false">
      <c r="B28" s="4" t="s">
        <v>391</v>
      </c>
    </row>
    <row r="29" customFormat="false" ht="15" hidden="false" customHeight="false" outlineLevel="0" collapsed="false">
      <c r="B29" s="30" t="s">
        <v>337</v>
      </c>
      <c r="C29" s="31" t="n">
        <v>1</v>
      </c>
      <c r="D29" s="31" t="n">
        <v>2</v>
      </c>
      <c r="E29" s="31" t="n">
        <v>3</v>
      </c>
      <c r="F29" s="31" t="n">
        <v>4</v>
      </c>
      <c r="G29" s="31" t="n">
        <v>5</v>
      </c>
    </row>
    <row r="30" customFormat="false" ht="15" hidden="false" customHeight="false" outlineLevel="0" collapsed="false">
      <c r="B30" s="2" t="s">
        <v>375</v>
      </c>
      <c r="C30" s="25" t="n">
        <f aca="false">SUMIF(Ko_Jahr,C$29,$C7:$BO7)</f>
        <v>371144.388</v>
      </c>
      <c r="D30" s="25" t="n">
        <f aca="false">SUMIF(Ko_Jahr,D$29,$C7:$BO7)</f>
        <v>395715.8952</v>
      </c>
      <c r="E30" s="25" t="n">
        <f aca="false">SUMIF(Ko_Jahr,E$29,$C7:$BO7)</f>
        <v>405608.79258</v>
      </c>
      <c r="F30" s="25" t="n">
        <f aca="false">SUMIF(Ko_Jahr,F$29,$C7:$BO7)</f>
        <v>415749.0123945</v>
      </c>
      <c r="G30" s="25" t="n">
        <f aca="false">SUMIF(Ko_Jahr,G$29,$C7:$BO7)</f>
        <v>426142.737704362</v>
      </c>
    </row>
    <row r="31" customFormat="false" ht="15" hidden="false" customHeight="false" outlineLevel="0" collapsed="false">
      <c r="B31" s="2" t="s">
        <v>65</v>
      </c>
      <c r="C31" s="25" t="n">
        <f aca="false">SUMIF(Ko_Jahr,C$29,$C8:$BO8)</f>
        <v>235072.6</v>
      </c>
      <c r="D31" s="25" t="n">
        <f aca="false">SUMIF(Ko_Jahr,D$29,$C8:$BO8)</f>
        <v>205520.616</v>
      </c>
      <c r="E31" s="25" t="n">
        <f aca="false">SUMIF(Ko_Jahr,E$29,$C8:$BO8)</f>
        <v>209631.02832</v>
      </c>
      <c r="F31" s="25" t="n">
        <f aca="false">SUMIF(Ko_Jahr,F$29,$C8:$BO8)</f>
        <v>213823.6488864</v>
      </c>
      <c r="G31" s="25" t="n">
        <f aca="false">SUMIF(Ko_Jahr,G$29,$C8:$BO8)</f>
        <v>218100.121864128</v>
      </c>
    </row>
    <row r="32" customFormat="false" ht="15" hidden="false" customHeight="false" outlineLevel="0" collapsed="false">
      <c r="B32" s="2" t="s">
        <v>376</v>
      </c>
      <c r="C32" s="25" t="n">
        <f aca="false">SUMIF(Ko_Jahr,C$29,$C9:$BO9)</f>
        <v>55311.2</v>
      </c>
      <c r="D32" s="25" t="n">
        <f aca="false">SUMIF(Ko_Jahr,D$29,$C9:$BO9)</f>
        <v>47409.6</v>
      </c>
      <c r="E32" s="25" t="n">
        <f aca="false">SUMIF(Ko_Jahr,E$29,$C9:$BO9)</f>
        <v>47409.6</v>
      </c>
      <c r="F32" s="25" t="n">
        <f aca="false">SUMIF(Ko_Jahr,F$29,$C9:$BO9)</f>
        <v>47409.6</v>
      </c>
      <c r="G32" s="25" t="n">
        <f aca="false">SUMIF(Ko_Jahr,G$29,$C9:$BO9)</f>
        <v>47409.6</v>
      </c>
    </row>
    <row r="33" customFormat="false" ht="15" hidden="false" customHeight="false" outlineLevel="0" collapsed="false">
      <c r="B33" s="2" t="s">
        <v>377</v>
      </c>
      <c r="C33" s="25" t="n">
        <f aca="false">SUMIF(Ko_Jahr,C$29,$C10:$BO10)</f>
        <v>94819.2</v>
      </c>
      <c r="D33" s="25" t="n">
        <f aca="false">SUMIF(Ko_Jahr,D$29,$C10:$BO10)</f>
        <v>94819.2</v>
      </c>
      <c r="E33" s="25" t="n">
        <f aca="false">SUMIF(Ko_Jahr,E$29,$C10:$BO10)</f>
        <v>94819.2</v>
      </c>
      <c r="F33" s="25" t="n">
        <f aca="false">SUMIF(Ko_Jahr,F$29,$C10:$BO10)</f>
        <v>94819.2</v>
      </c>
      <c r="G33" s="25" t="n">
        <f aca="false">SUMIF(Ko_Jahr,G$29,$C10:$BO10)</f>
        <v>94819.2</v>
      </c>
    </row>
    <row r="34" customFormat="false" ht="15" hidden="false" customHeight="false" outlineLevel="0" collapsed="false">
      <c r="B34" s="2" t="s">
        <v>378</v>
      </c>
      <c r="C34" s="25" t="n">
        <f aca="false">SUMIF(Ko_Jahr,C$29,$C11:$BO11)</f>
        <v>95000</v>
      </c>
      <c r="D34" s="25" t="n">
        <f aca="false">SUMIF(Ko_Jahr,D$29,$C11:$BO11)</f>
        <v>42000</v>
      </c>
      <c r="E34" s="25" t="n">
        <f aca="false">SUMIF(Ko_Jahr,E$29,$C11:$BO11)</f>
        <v>42000</v>
      </c>
      <c r="F34" s="25" t="n">
        <f aca="false">SUMIF(Ko_Jahr,F$29,$C11:$BO11)</f>
        <v>42000</v>
      </c>
      <c r="G34" s="25" t="n">
        <f aca="false">SUMIF(Ko_Jahr,G$29,$C11:$BO11)</f>
        <v>42000</v>
      </c>
    </row>
    <row r="35" customFormat="false" ht="15" hidden="false" customHeight="false" outlineLevel="0" collapsed="false">
      <c r="B35" s="2" t="s">
        <v>379</v>
      </c>
      <c r="C35" s="25" t="n">
        <f aca="false">SUMIF(Ko_Jahr,C$29,$C12:$BO12)</f>
        <v>10800</v>
      </c>
      <c r="D35" s="25" t="n">
        <f aca="false">SUMIF(Ko_Jahr,D$29,$C12:$BO12)</f>
        <v>10800</v>
      </c>
      <c r="E35" s="25" t="n">
        <f aca="false">SUMIF(Ko_Jahr,E$29,$C12:$BO12)</f>
        <v>10800</v>
      </c>
      <c r="F35" s="25" t="n">
        <f aca="false">SUMIF(Ko_Jahr,F$29,$C12:$BO12)</f>
        <v>10800</v>
      </c>
      <c r="G35" s="25" t="n">
        <f aca="false">SUMIF(Ko_Jahr,G$29,$C12:$BO12)</f>
        <v>10800</v>
      </c>
    </row>
    <row r="36" customFormat="false" ht="15" hidden="false" customHeight="false" outlineLevel="0" collapsed="false">
      <c r="B36" s="2" t="s">
        <v>380</v>
      </c>
      <c r="C36" s="25" t="n">
        <f aca="false">SUMIF(Ko_Jahr,C$29,$C13:$BO13)</f>
        <v>4200</v>
      </c>
      <c r="D36" s="25" t="n">
        <f aca="false">SUMIF(Ko_Jahr,D$29,$C13:$BO13)</f>
        <v>4200</v>
      </c>
      <c r="E36" s="25" t="n">
        <f aca="false">SUMIF(Ko_Jahr,E$29,$C13:$BO13)</f>
        <v>4200</v>
      </c>
      <c r="F36" s="25" t="n">
        <f aca="false">SUMIF(Ko_Jahr,F$29,$C13:$BO13)</f>
        <v>4200</v>
      </c>
      <c r="G36" s="25" t="n">
        <f aca="false">SUMIF(Ko_Jahr,G$29,$C13:$BO13)</f>
        <v>4200</v>
      </c>
    </row>
    <row r="37" customFormat="false" ht="15" hidden="false" customHeight="false" outlineLevel="0" collapsed="false">
      <c r="B37" s="2" t="s">
        <v>381</v>
      </c>
      <c r="C37" s="25" t="n">
        <f aca="false">SUMIF(Ko_Jahr,C$29,$C14:$BO14)</f>
        <v>5400</v>
      </c>
      <c r="D37" s="25" t="n">
        <f aca="false">SUMIF(Ko_Jahr,D$29,$C14:$BO14)</f>
        <v>5400</v>
      </c>
      <c r="E37" s="25" t="n">
        <f aca="false">SUMIF(Ko_Jahr,E$29,$C14:$BO14)</f>
        <v>5400</v>
      </c>
      <c r="F37" s="25" t="n">
        <f aca="false">SUMIF(Ko_Jahr,F$29,$C14:$BO14)</f>
        <v>5400</v>
      </c>
      <c r="G37" s="25" t="n">
        <f aca="false">SUMIF(Ko_Jahr,G$29,$C14:$BO14)</f>
        <v>5400</v>
      </c>
    </row>
    <row r="38" customFormat="false" ht="15" hidden="false" customHeight="false" outlineLevel="0" collapsed="false">
      <c r="B38" s="2" t="s">
        <v>382</v>
      </c>
      <c r="C38" s="25" t="n">
        <f aca="false">SUMIF(Ko_Jahr,C$29,$C15:$BO15)</f>
        <v>5354.81960423284</v>
      </c>
      <c r="D38" s="25" t="n">
        <f aca="false">SUMIF(Ko_Jahr,D$29,$C15:$BO15)</f>
        <v>9442.74922997862</v>
      </c>
      <c r="E38" s="25" t="n">
        <f aca="false">SUMIF(Ko_Jahr,E$29,$C15:$BO15)</f>
        <v>11800.8803029083</v>
      </c>
      <c r="F38" s="25" t="n">
        <f aca="false">SUMIF(Ko_Jahr,F$29,$C15:$BO15)</f>
        <v>12143.023872</v>
      </c>
      <c r="G38" s="25" t="n">
        <f aca="false">SUMIF(Ko_Jahr,G$29,$C15:$BO15)</f>
        <v>12363.41554944</v>
      </c>
    </row>
    <row r="39" customFormat="false" ht="15" hidden="false" customHeight="false" outlineLevel="0" collapsed="false">
      <c r="B39" s="2" t="s">
        <v>383</v>
      </c>
      <c r="C39" s="25" t="n">
        <f aca="false">SUMIF(Ko_Jahr,C$29,$C16:$BO16)</f>
        <v>16000</v>
      </c>
      <c r="D39" s="25" t="n">
        <f aca="false">SUMIF(Ko_Jahr,D$29,$C16:$BO16)</f>
        <v>12000</v>
      </c>
      <c r="E39" s="25" t="n">
        <f aca="false">SUMIF(Ko_Jahr,E$29,$C16:$BO16)</f>
        <v>12000</v>
      </c>
      <c r="F39" s="25" t="n">
        <f aca="false">SUMIF(Ko_Jahr,F$29,$C16:$BO16)</f>
        <v>12000</v>
      </c>
      <c r="G39" s="25" t="n">
        <f aca="false">SUMIF(Ko_Jahr,G$29,$C16:$BO16)</f>
        <v>12000</v>
      </c>
    </row>
    <row r="40" customFormat="false" ht="15" hidden="false" customHeight="false" outlineLevel="0" collapsed="false">
      <c r="B40" s="2" t="s">
        <v>384</v>
      </c>
      <c r="C40" s="25" t="n">
        <f aca="false">SUMIF(Ko_Jahr,C$29,$C17:$BO17)</f>
        <v>26400</v>
      </c>
      <c r="D40" s="25" t="n">
        <f aca="false">SUMIF(Ko_Jahr,D$29,$C17:$BO17)</f>
        <v>26400</v>
      </c>
      <c r="E40" s="25" t="n">
        <f aca="false">SUMIF(Ko_Jahr,E$29,$C17:$BO17)</f>
        <v>26400</v>
      </c>
      <c r="F40" s="25" t="n">
        <f aca="false">SUMIF(Ko_Jahr,F$29,$C17:$BO17)</f>
        <v>26400</v>
      </c>
      <c r="G40" s="25" t="n">
        <f aca="false">SUMIF(Ko_Jahr,G$29,$C17:$BO17)</f>
        <v>26400</v>
      </c>
    </row>
    <row r="41" customFormat="false" ht="15" hidden="false" customHeight="false" outlineLevel="0" collapsed="false">
      <c r="B41" s="2" t="s">
        <v>385</v>
      </c>
      <c r="C41" s="25" t="n">
        <f aca="false">SUMIF(Ko_Jahr,C$29,$C18:$BO18)</f>
        <v>3000</v>
      </c>
      <c r="D41" s="25" t="n">
        <f aca="false">SUMIF(Ko_Jahr,D$29,$C18:$BO18)</f>
        <v>3000</v>
      </c>
      <c r="E41" s="25" t="n">
        <f aca="false">SUMIF(Ko_Jahr,E$29,$C18:$BO18)</f>
        <v>3000</v>
      </c>
      <c r="F41" s="25" t="n">
        <f aca="false">SUMIF(Ko_Jahr,F$29,$C18:$BO18)</f>
        <v>3000</v>
      </c>
      <c r="G41" s="25" t="n">
        <f aca="false">SUMIF(Ko_Jahr,G$29,$C18:$BO18)</f>
        <v>3000</v>
      </c>
    </row>
    <row r="42" customFormat="false" ht="15" hidden="false" customHeight="false" outlineLevel="0" collapsed="false">
      <c r="B42" s="2" t="s">
        <v>386</v>
      </c>
      <c r="C42" s="25" t="n">
        <f aca="false">SUMIF(Ko_Jahr,C$29,$C19:$BO19)</f>
        <v>31159.8</v>
      </c>
      <c r="D42" s="25" t="n">
        <f aca="false">SUMIF(Ko_Jahr,D$29,$C19:$BO19)</f>
        <v>31159.8</v>
      </c>
      <c r="E42" s="25" t="n">
        <f aca="false">SUMIF(Ko_Jahr,E$29,$C19:$BO19)</f>
        <v>31159.8</v>
      </c>
      <c r="F42" s="25" t="n">
        <f aca="false">SUMIF(Ko_Jahr,F$29,$C19:$BO19)</f>
        <v>31159.8</v>
      </c>
      <c r="G42" s="25" t="n">
        <f aca="false">SUMIF(Ko_Jahr,G$29,$C19:$BO19)</f>
        <v>31159.8</v>
      </c>
    </row>
    <row r="43" customFormat="false" ht="15" hidden="false" customHeight="false" outlineLevel="0" collapsed="false">
      <c r="B43" s="2" t="s">
        <v>182</v>
      </c>
      <c r="C43" s="25" t="n">
        <f aca="false">SUMIF(Ko_Jahr,C$29,$C20:$BO20)</f>
        <v>7901.6</v>
      </c>
      <c r="D43" s="25" t="n">
        <f aca="false">SUMIF(Ko_Jahr,D$29,$C20:$BO20)</f>
        <v>7901.6</v>
      </c>
      <c r="E43" s="25" t="n">
        <f aca="false">SUMIF(Ko_Jahr,E$29,$C20:$BO20)</f>
        <v>7901.6</v>
      </c>
      <c r="F43" s="25" t="n">
        <f aca="false">SUMIF(Ko_Jahr,F$29,$C20:$BO20)</f>
        <v>7901.6</v>
      </c>
      <c r="G43" s="25" t="n">
        <f aca="false">SUMIF(Ko_Jahr,G$29,$C20:$BO20)</f>
        <v>7901.6</v>
      </c>
    </row>
    <row r="44" customFormat="false" ht="15" hidden="false" customHeight="false" outlineLevel="0" collapsed="false">
      <c r="B44" s="2" t="s">
        <v>316</v>
      </c>
      <c r="C44" s="25" t="n">
        <f aca="false">SUMIF(Ko_Jahr,C$29,$C21:$BO21)</f>
        <v>18000</v>
      </c>
      <c r="D44" s="25" t="n">
        <f aca="false">SUMIF(Ko_Jahr,D$29,$C21:$BO21)</f>
        <v>18000</v>
      </c>
      <c r="E44" s="25" t="n">
        <f aca="false">SUMIF(Ko_Jahr,E$29,$C21:$BO21)</f>
        <v>18000</v>
      </c>
      <c r="F44" s="25" t="n">
        <f aca="false">SUMIF(Ko_Jahr,F$29,$C21:$BO21)</f>
        <v>18000</v>
      </c>
      <c r="G44" s="25" t="n">
        <f aca="false">SUMIF(Ko_Jahr,G$29,$C21:$BO21)</f>
        <v>18000</v>
      </c>
    </row>
    <row r="45" customFormat="false" ht="15" hidden="false" customHeight="false" outlineLevel="0" collapsed="false">
      <c r="B45" s="2" t="s">
        <v>105</v>
      </c>
      <c r="C45" s="25" t="n">
        <f aca="false">SUMIF(Ko_Jahr,C$29,$C22:$BO22)</f>
        <v>11589.7014815749</v>
      </c>
      <c r="D45" s="25" t="n">
        <f aca="false">SUMIF(Ko_Jahr,D$29,$C22:$BO22)</f>
        <v>21232.1770508812</v>
      </c>
      <c r="E45" s="25" t="n">
        <f aca="false">SUMIF(Ko_Jahr,E$29,$C22:$BO22)</f>
        <v>26296.9678797227</v>
      </c>
      <c r="F45" s="25" t="n">
        <f aca="false">SUMIF(Ko_Jahr,F$29,$C22:$BO22)</f>
        <v>26621.8487394958</v>
      </c>
      <c r="G45" s="25" t="n">
        <f aca="false">SUMIF(Ko_Jahr,G$29,$C22:$BO22)</f>
        <v>26621.8487394958</v>
      </c>
    </row>
    <row r="46" customFormat="false" ht="15" hidden="false" customHeight="false" outlineLevel="0" collapsed="false">
      <c r="B46" s="8" t="s">
        <v>392</v>
      </c>
      <c r="C46" s="35" t="n">
        <f aca="false">SUM(C30:C45)</f>
        <v>991153.309085808</v>
      </c>
      <c r="D46" s="35" t="n">
        <f aca="false">SUM(D30:D45)</f>
        <v>935001.63748086</v>
      </c>
      <c r="E46" s="35" t="n">
        <f aca="false">SUM(E30:E45)</f>
        <v>956427.869082631</v>
      </c>
      <c r="F46" s="35" t="n">
        <f aca="false">SUM(F30:F45)</f>
        <v>971427.733892396</v>
      </c>
      <c r="G46" s="35" t="n">
        <f aca="false">SUM(G30:G45)</f>
        <v>986318.323857426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O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67" min="3" style="0" width="11"/>
  </cols>
  <sheetData>
    <row r="1" customFormat="false" ht="17.35" hidden="false" customHeight="false" outlineLevel="0" collapsed="false">
      <c r="B1" s="1" t="s">
        <v>393</v>
      </c>
    </row>
    <row r="3" customFormat="false" ht="15" hidden="false" customHeight="false" outlineLevel="0" collapsed="false">
      <c r="B3" s="10" t="s">
        <v>394</v>
      </c>
      <c r="C3" s="30" t="s">
        <v>395</v>
      </c>
      <c r="D3" s="30" t="s">
        <v>396</v>
      </c>
    </row>
    <row r="4" customFormat="false" ht="15" hidden="false" customHeight="false" outlineLevel="0" collapsed="false">
      <c r="B4" s="2" t="s">
        <v>397</v>
      </c>
      <c r="C4" s="33" t="n">
        <f aca="false">SUMIF(Inv_Gruppe,"Geräte",Inv_Betrag)</f>
        <v>623196</v>
      </c>
      <c r="D4" s="37" t="n">
        <f aca="false">C4/$C$13</f>
        <v>0.237626797702875</v>
      </c>
    </row>
    <row r="5" customFormat="false" ht="15" hidden="false" customHeight="false" outlineLevel="0" collapsed="false">
      <c r="B5" s="2" t="s">
        <v>398</v>
      </c>
      <c r="C5" s="33" t="n">
        <f aca="false">SUMIF(Inv_Gruppe,"Ausbau",Inv_Betrag)</f>
        <v>851788</v>
      </c>
      <c r="D5" s="37" t="n">
        <f aca="false">C5/$C$13</f>
        <v>0.324789720668517</v>
      </c>
    </row>
    <row r="6" customFormat="false" ht="15" hidden="false" customHeight="false" outlineLevel="0" collapsed="false">
      <c r="B6" s="2" t="s">
        <v>399</v>
      </c>
      <c r="C6" s="33" t="n">
        <f aca="false">SUMIF(Inv_Gruppe,"Sanitär",Inv_Betrag)</f>
        <v>39800</v>
      </c>
      <c r="D6" s="37" t="n">
        <f aca="false">C6/$C$13</f>
        <v>0.0151758781323603</v>
      </c>
    </row>
    <row r="7" customFormat="false" ht="15" hidden="false" customHeight="false" outlineLevel="0" collapsed="false">
      <c r="B7" s="2" t="s">
        <v>400</v>
      </c>
      <c r="C7" s="33" t="n">
        <f aca="false">SUMIF(Inv_Gruppe,"Planung",Inv_Betrag)</f>
        <v>106991</v>
      </c>
      <c r="D7" s="37" t="n">
        <f aca="false">C7/$C$13</f>
        <v>0.0407960396296323</v>
      </c>
    </row>
    <row r="8" customFormat="false" ht="15" hidden="false" customHeight="false" outlineLevel="0" collapsed="false">
      <c r="B8" s="2" t="s">
        <v>401</v>
      </c>
      <c r="C8" s="33" t="n">
        <f aca="false">SUMIF(Inv_Gruppe,"Sonstiges",Inv_Betrag)</f>
        <v>32000</v>
      </c>
      <c r="D8" s="37" t="n">
        <f aca="false">C8/$C$13</f>
        <v>0.0122017110611943</v>
      </c>
    </row>
    <row r="9" customFormat="false" ht="15" hidden="false" customHeight="false" outlineLevel="0" collapsed="false">
      <c r="B9" s="2" t="s">
        <v>402</v>
      </c>
      <c r="C9" s="33" t="n">
        <f aca="false">SUMIF(Inv_Gruppe,"Reserve",Inv_Betrag)</f>
        <v>165378</v>
      </c>
      <c r="D9" s="37" t="n">
        <f aca="false">C9/$C$13</f>
        <v>0.0630592053711932</v>
      </c>
    </row>
    <row r="10" customFormat="false" ht="15" hidden="false" customHeight="false" outlineLevel="0" collapsed="false">
      <c r="B10" s="2" t="s">
        <v>403</v>
      </c>
      <c r="C10" s="33" t="n">
        <f aca="false">SUMIF(Inv_Gruppe,"Kaution",Inv_Betrag)</f>
        <v>85930</v>
      </c>
      <c r="D10" s="37" t="n">
        <f aca="false">C10/$C$13</f>
        <v>0.0327654072340132</v>
      </c>
    </row>
    <row r="11" customFormat="false" ht="15" hidden="false" customHeight="false" outlineLevel="0" collapsed="false">
      <c r="B11" s="2" t="s">
        <v>404</v>
      </c>
      <c r="C11" s="33" t="n">
        <f aca="false">SUMIF(Inv_Gruppe,"Gründung",Inv_Betrag)</f>
        <v>7500</v>
      </c>
      <c r="D11" s="37" t="n">
        <f aca="false">C11/$C$13</f>
        <v>0.0028597760299674</v>
      </c>
    </row>
    <row r="12" customFormat="false" ht="15" hidden="false" customHeight="false" outlineLevel="0" collapsed="false">
      <c r="B12" s="2" t="s">
        <v>329</v>
      </c>
      <c r="C12" s="33" t="n">
        <f aca="false">Reserve</f>
        <v>710000</v>
      </c>
      <c r="D12" s="37" t="n">
        <f aca="false">C12/$C$13</f>
        <v>0.270725464170247</v>
      </c>
    </row>
    <row r="13" customFormat="false" ht="15" hidden="false" customHeight="false" outlineLevel="0" collapsed="false">
      <c r="B13" s="8" t="s">
        <v>330</v>
      </c>
      <c r="C13" s="34" t="n">
        <f aca="false">SUM(C4:C12)</f>
        <v>2622583</v>
      </c>
      <c r="D13" s="37" t="n">
        <f aca="false">C13/C13</f>
        <v>1</v>
      </c>
    </row>
    <row r="14" customFormat="false" ht="15" hidden="false" customHeight="false" outlineLevel="0" collapsed="false">
      <c r="B14" s="3" t="s">
        <v>405</v>
      </c>
      <c r="C14" s="38" t="n">
        <f aca="false">C13-Kapitalbedarf</f>
        <v>0</v>
      </c>
    </row>
    <row r="16" customFormat="false" ht="15" hidden="false" customHeight="false" outlineLevel="0" collapsed="false">
      <c r="B16" s="10" t="s">
        <v>406</v>
      </c>
      <c r="C16" s="30" t="s">
        <v>395</v>
      </c>
      <c r="D16" s="30" t="s">
        <v>396</v>
      </c>
    </row>
    <row r="17" customFormat="false" ht="15" hidden="false" customHeight="false" outlineLevel="0" collapsed="false">
      <c r="B17" s="2" t="s">
        <v>407</v>
      </c>
      <c r="C17" s="33" t="n">
        <f aca="false">EK</f>
        <v>150000</v>
      </c>
      <c r="D17" s="37" t="n">
        <f aca="false">C17/$C$22</f>
        <v>0.0571955205993481</v>
      </c>
    </row>
    <row r="18" customFormat="false" ht="23.85" hidden="false" customHeight="false" outlineLevel="0" collapsed="false">
      <c r="B18" s="39" t="str">
        <f aca="false">Darl1_Name</f>
        <v>MBG Baden-Württemberg – stille Beteiligung Existenzgründung (wirtschaftliches Eigenkapital)</v>
      </c>
      <c r="C18" s="33" t="n">
        <f aca="false">Darl1_Betrag</f>
        <v>250000</v>
      </c>
      <c r="D18" s="37" t="n">
        <f aca="false">C18/$C$22</f>
        <v>0.0953258676655801</v>
      </c>
    </row>
    <row r="19" customFormat="false" ht="23.85" hidden="false" customHeight="false" outlineLevel="0" collapsed="false">
      <c r="B19" s="39" t="str">
        <f aca="false">Darl2_Name</f>
        <v>KfW ERP-Förderkredit Gründung und Nachfolge (077), 100 % Garantie Bürgschaftsbank</v>
      </c>
      <c r="C19" s="33" t="n">
        <f aca="false">Darl2_Betrag</f>
        <v>500000</v>
      </c>
      <c r="D19" s="37" t="n">
        <f aca="false">C19/$C$22</f>
        <v>0.19065173533116</v>
      </c>
    </row>
    <row r="20" customFormat="false" ht="15" hidden="false" customHeight="false" outlineLevel="0" collapsed="false">
      <c r="B20" s="39" t="str">
        <f aca="false">Darl3_Name</f>
        <v>KfW ERP-Gründerkredit StartGeld (067), 80 % Haftungsfreistellung</v>
      </c>
      <c r="C20" s="33" t="n">
        <f aca="false">Darl3_Betrag</f>
        <v>200000</v>
      </c>
      <c r="D20" s="37" t="n">
        <f aca="false">C20/$C$22</f>
        <v>0.0762606941324641</v>
      </c>
    </row>
    <row r="21" customFormat="false" ht="23.85" hidden="false" customHeight="false" outlineLevel="0" collapsed="false">
      <c r="B21" s="39" t="str">
        <f aca="false">Darl4_Name</f>
        <v>L-Bank Gründungsfinanzierung (GuW-BW) über Hausbank, 80 % Bürgschaft Bürgschaftsbank BW (Restfinanzierung)</v>
      </c>
      <c r="C21" s="33" t="n">
        <f aca="false">Darl4_Betrag</f>
        <v>1522583</v>
      </c>
      <c r="D21" s="37" t="n">
        <f aca="false">C21/$C$22</f>
        <v>0.580566182271448</v>
      </c>
    </row>
    <row r="22" customFormat="false" ht="15" hidden="false" customHeight="false" outlineLevel="0" collapsed="false">
      <c r="B22" s="8" t="s">
        <v>408</v>
      </c>
      <c r="C22" s="34" t="n">
        <f aca="false">SUM(C17:C21)</f>
        <v>2622583</v>
      </c>
      <c r="D22" s="37" t="n">
        <f aca="false">C22/$C$22</f>
        <v>1</v>
      </c>
    </row>
    <row r="23" customFormat="false" ht="15" hidden="false" customHeight="false" outlineLevel="0" collapsed="false">
      <c r="B23" s="8" t="s">
        <v>409</v>
      </c>
      <c r="C23" s="35" t="n">
        <f aca="false">C22-C13</f>
        <v>0</v>
      </c>
    </row>
    <row r="24" customFormat="false" ht="15" hidden="false" customHeight="false" outlineLevel="0" collapsed="false">
      <c r="B24" s="2" t="s">
        <v>410</v>
      </c>
      <c r="C24" s="37" t="n">
        <f aca="false">(EK+Darl1_Betrag*Darl1_EK+Darl2_Betrag*Darl2_EK+Darl3_Betrag*Darl3_EK+Darl4_Betrag*Darl4_EK)/C13</f>
        <v>0.152521388264928</v>
      </c>
    </row>
    <row r="25" customFormat="false" ht="15" hidden="false" customHeight="false" outlineLevel="0" collapsed="false">
      <c r="B25" s="2" t="s">
        <v>411</v>
      </c>
      <c r="C25" s="25" t="n">
        <f aca="false">SUM(C18:C21)</f>
        <v>2472583</v>
      </c>
    </row>
    <row r="27" customFormat="false" ht="15" hidden="false" customHeight="false" outlineLevel="0" collapsed="false">
      <c r="B27" s="4" t="s">
        <v>412</v>
      </c>
    </row>
    <row r="28" customFormat="false" ht="15" hidden="false" customHeight="false" outlineLevel="0" collapsed="false">
      <c r="B28" s="30" t="s">
        <v>211</v>
      </c>
      <c r="C28" s="31" t="n">
        <v>-5</v>
      </c>
      <c r="D28" s="31" t="n">
        <v>-4</v>
      </c>
      <c r="E28" s="31" t="n">
        <v>-3</v>
      </c>
      <c r="F28" s="31" t="n">
        <v>-2</v>
      </c>
      <c r="G28" s="31" t="n">
        <v>-1</v>
      </c>
      <c r="H28" s="31" t="n">
        <v>1</v>
      </c>
      <c r="I28" s="31" t="n">
        <v>2</v>
      </c>
      <c r="J28" s="31" t="n">
        <v>3</v>
      </c>
      <c r="K28" s="31" t="n">
        <v>4</v>
      </c>
      <c r="L28" s="31" t="n">
        <v>5</v>
      </c>
      <c r="M28" s="31" t="n">
        <v>6</v>
      </c>
      <c r="N28" s="31" t="n">
        <v>7</v>
      </c>
      <c r="O28" s="31" t="n">
        <v>8</v>
      </c>
      <c r="P28" s="31" t="n">
        <v>9</v>
      </c>
      <c r="Q28" s="31" t="n">
        <v>10</v>
      </c>
      <c r="R28" s="31" t="n">
        <v>11</v>
      </c>
      <c r="S28" s="31" t="n">
        <v>12</v>
      </c>
      <c r="T28" s="31" t="n">
        <v>13</v>
      </c>
      <c r="U28" s="31" t="n">
        <v>14</v>
      </c>
      <c r="V28" s="31" t="n">
        <v>15</v>
      </c>
      <c r="W28" s="31" t="n">
        <v>16</v>
      </c>
      <c r="X28" s="31" t="n">
        <v>17</v>
      </c>
      <c r="Y28" s="31" t="n">
        <v>18</v>
      </c>
      <c r="Z28" s="31" t="n">
        <v>19</v>
      </c>
      <c r="AA28" s="31" t="n">
        <v>20</v>
      </c>
      <c r="AB28" s="31" t="n">
        <v>21</v>
      </c>
      <c r="AC28" s="31" t="n">
        <v>22</v>
      </c>
      <c r="AD28" s="31" t="n">
        <v>23</v>
      </c>
      <c r="AE28" s="31" t="n">
        <v>24</v>
      </c>
      <c r="AF28" s="31" t="n">
        <v>25</v>
      </c>
      <c r="AG28" s="31" t="n">
        <v>26</v>
      </c>
      <c r="AH28" s="31" t="n">
        <v>27</v>
      </c>
      <c r="AI28" s="31" t="n">
        <v>28</v>
      </c>
      <c r="AJ28" s="31" t="n">
        <v>29</v>
      </c>
      <c r="AK28" s="31" t="n">
        <v>30</v>
      </c>
      <c r="AL28" s="31" t="n">
        <v>31</v>
      </c>
      <c r="AM28" s="31" t="n">
        <v>32</v>
      </c>
      <c r="AN28" s="31" t="n">
        <v>33</v>
      </c>
      <c r="AO28" s="31" t="n">
        <v>34</v>
      </c>
      <c r="AP28" s="31" t="n">
        <v>35</v>
      </c>
      <c r="AQ28" s="31" t="n">
        <v>36</v>
      </c>
      <c r="AR28" s="31" t="n">
        <v>37</v>
      </c>
      <c r="AS28" s="31" t="n">
        <v>38</v>
      </c>
      <c r="AT28" s="31" t="n">
        <v>39</v>
      </c>
      <c r="AU28" s="31" t="n">
        <v>40</v>
      </c>
      <c r="AV28" s="31" t="n">
        <v>41</v>
      </c>
      <c r="AW28" s="31" t="n">
        <v>42</v>
      </c>
      <c r="AX28" s="31" t="n">
        <v>43</v>
      </c>
      <c r="AY28" s="31" t="n">
        <v>44</v>
      </c>
      <c r="AZ28" s="31" t="n">
        <v>45</v>
      </c>
      <c r="BA28" s="31" t="n">
        <v>46</v>
      </c>
      <c r="BB28" s="31" t="n">
        <v>47</v>
      </c>
      <c r="BC28" s="31" t="n">
        <v>48</v>
      </c>
      <c r="BD28" s="31" t="n">
        <v>49</v>
      </c>
      <c r="BE28" s="31" t="n">
        <v>50</v>
      </c>
      <c r="BF28" s="31" t="n">
        <v>51</v>
      </c>
      <c r="BG28" s="31" t="n">
        <v>52</v>
      </c>
      <c r="BH28" s="31" t="n">
        <v>53</v>
      </c>
      <c r="BI28" s="31" t="n">
        <v>54</v>
      </c>
      <c r="BJ28" s="31" t="n">
        <v>55</v>
      </c>
      <c r="BK28" s="31" t="n">
        <v>56</v>
      </c>
      <c r="BL28" s="31" t="n">
        <v>57</v>
      </c>
      <c r="BM28" s="31" t="n">
        <v>58</v>
      </c>
      <c r="BN28" s="31" t="n">
        <v>59</v>
      </c>
      <c r="BO28" s="31" t="n">
        <v>60</v>
      </c>
    </row>
    <row r="29" customFormat="false" ht="15" hidden="false" customHeight="false" outlineLevel="0" collapsed="false">
      <c r="B29" s="8" t="s">
        <v>337</v>
      </c>
      <c r="C29" s="36" t="n">
        <f aca="false">IF(C28&lt;1,1,INT((C28-1)/12)+1)</f>
        <v>1</v>
      </c>
      <c r="D29" s="36" t="n">
        <f aca="false">IF(D28&lt;1,1,INT((D28-1)/12)+1)</f>
        <v>1</v>
      </c>
      <c r="E29" s="36" t="n">
        <f aca="false">IF(E28&lt;1,1,INT((E28-1)/12)+1)</f>
        <v>1</v>
      </c>
      <c r="F29" s="36" t="n">
        <f aca="false">IF(F28&lt;1,1,INT((F28-1)/12)+1)</f>
        <v>1</v>
      </c>
      <c r="G29" s="36" t="n">
        <f aca="false">IF(G28&lt;1,1,INT((G28-1)/12)+1)</f>
        <v>1</v>
      </c>
      <c r="H29" s="36" t="n">
        <f aca="false">IF(H28&lt;1,1,INT((H28-1)/12)+1)</f>
        <v>1</v>
      </c>
      <c r="I29" s="36" t="n">
        <f aca="false">IF(I28&lt;1,1,INT((I28-1)/12)+1)</f>
        <v>1</v>
      </c>
      <c r="J29" s="36" t="n">
        <f aca="false">IF(J28&lt;1,1,INT((J28-1)/12)+1)</f>
        <v>1</v>
      </c>
      <c r="K29" s="36" t="n">
        <f aca="false">IF(K28&lt;1,1,INT((K28-1)/12)+1)</f>
        <v>1</v>
      </c>
      <c r="L29" s="36" t="n">
        <f aca="false">IF(L28&lt;1,1,INT((L28-1)/12)+1)</f>
        <v>1</v>
      </c>
      <c r="M29" s="36" t="n">
        <f aca="false">IF(M28&lt;1,1,INT((M28-1)/12)+1)</f>
        <v>1</v>
      </c>
      <c r="N29" s="36" t="n">
        <f aca="false">IF(N28&lt;1,1,INT((N28-1)/12)+1)</f>
        <v>1</v>
      </c>
      <c r="O29" s="36" t="n">
        <f aca="false">IF(O28&lt;1,1,INT((O28-1)/12)+1)</f>
        <v>1</v>
      </c>
      <c r="P29" s="36" t="n">
        <f aca="false">IF(P28&lt;1,1,INT((P28-1)/12)+1)</f>
        <v>1</v>
      </c>
      <c r="Q29" s="36" t="n">
        <f aca="false">IF(Q28&lt;1,1,INT((Q28-1)/12)+1)</f>
        <v>1</v>
      </c>
      <c r="R29" s="36" t="n">
        <f aca="false">IF(R28&lt;1,1,INT((R28-1)/12)+1)</f>
        <v>1</v>
      </c>
      <c r="S29" s="36" t="n">
        <f aca="false">IF(S28&lt;1,1,INT((S28-1)/12)+1)</f>
        <v>1</v>
      </c>
      <c r="T29" s="36" t="n">
        <f aca="false">IF(T28&lt;1,1,INT((T28-1)/12)+1)</f>
        <v>2</v>
      </c>
      <c r="U29" s="36" t="n">
        <f aca="false">IF(U28&lt;1,1,INT((U28-1)/12)+1)</f>
        <v>2</v>
      </c>
      <c r="V29" s="36" t="n">
        <f aca="false">IF(V28&lt;1,1,INT((V28-1)/12)+1)</f>
        <v>2</v>
      </c>
      <c r="W29" s="36" t="n">
        <f aca="false">IF(W28&lt;1,1,INT((W28-1)/12)+1)</f>
        <v>2</v>
      </c>
      <c r="X29" s="36" t="n">
        <f aca="false">IF(X28&lt;1,1,INT((X28-1)/12)+1)</f>
        <v>2</v>
      </c>
      <c r="Y29" s="36" t="n">
        <f aca="false">IF(Y28&lt;1,1,INT((Y28-1)/12)+1)</f>
        <v>2</v>
      </c>
      <c r="Z29" s="36" t="n">
        <f aca="false">IF(Z28&lt;1,1,INT((Z28-1)/12)+1)</f>
        <v>2</v>
      </c>
      <c r="AA29" s="36" t="n">
        <f aca="false">IF(AA28&lt;1,1,INT((AA28-1)/12)+1)</f>
        <v>2</v>
      </c>
      <c r="AB29" s="36" t="n">
        <f aca="false">IF(AB28&lt;1,1,INT((AB28-1)/12)+1)</f>
        <v>2</v>
      </c>
      <c r="AC29" s="36" t="n">
        <f aca="false">IF(AC28&lt;1,1,INT((AC28-1)/12)+1)</f>
        <v>2</v>
      </c>
      <c r="AD29" s="36" t="n">
        <f aca="false">IF(AD28&lt;1,1,INT((AD28-1)/12)+1)</f>
        <v>2</v>
      </c>
      <c r="AE29" s="36" t="n">
        <f aca="false">IF(AE28&lt;1,1,INT((AE28-1)/12)+1)</f>
        <v>2</v>
      </c>
      <c r="AF29" s="36" t="n">
        <f aca="false">IF(AF28&lt;1,1,INT((AF28-1)/12)+1)</f>
        <v>3</v>
      </c>
      <c r="AG29" s="36" t="n">
        <f aca="false">IF(AG28&lt;1,1,INT((AG28-1)/12)+1)</f>
        <v>3</v>
      </c>
      <c r="AH29" s="36" t="n">
        <f aca="false">IF(AH28&lt;1,1,INT((AH28-1)/12)+1)</f>
        <v>3</v>
      </c>
      <c r="AI29" s="36" t="n">
        <f aca="false">IF(AI28&lt;1,1,INT((AI28-1)/12)+1)</f>
        <v>3</v>
      </c>
      <c r="AJ29" s="36" t="n">
        <f aca="false">IF(AJ28&lt;1,1,INT((AJ28-1)/12)+1)</f>
        <v>3</v>
      </c>
      <c r="AK29" s="36" t="n">
        <f aca="false">IF(AK28&lt;1,1,INT((AK28-1)/12)+1)</f>
        <v>3</v>
      </c>
      <c r="AL29" s="36" t="n">
        <f aca="false">IF(AL28&lt;1,1,INT((AL28-1)/12)+1)</f>
        <v>3</v>
      </c>
      <c r="AM29" s="36" t="n">
        <f aca="false">IF(AM28&lt;1,1,INT((AM28-1)/12)+1)</f>
        <v>3</v>
      </c>
      <c r="AN29" s="36" t="n">
        <f aca="false">IF(AN28&lt;1,1,INT((AN28-1)/12)+1)</f>
        <v>3</v>
      </c>
      <c r="AO29" s="36" t="n">
        <f aca="false">IF(AO28&lt;1,1,INT((AO28-1)/12)+1)</f>
        <v>3</v>
      </c>
      <c r="AP29" s="36" t="n">
        <f aca="false">IF(AP28&lt;1,1,INT((AP28-1)/12)+1)</f>
        <v>3</v>
      </c>
      <c r="AQ29" s="36" t="n">
        <f aca="false">IF(AQ28&lt;1,1,INT((AQ28-1)/12)+1)</f>
        <v>3</v>
      </c>
      <c r="AR29" s="36" t="n">
        <f aca="false">IF(AR28&lt;1,1,INT((AR28-1)/12)+1)</f>
        <v>4</v>
      </c>
      <c r="AS29" s="36" t="n">
        <f aca="false">IF(AS28&lt;1,1,INT((AS28-1)/12)+1)</f>
        <v>4</v>
      </c>
      <c r="AT29" s="36" t="n">
        <f aca="false">IF(AT28&lt;1,1,INT((AT28-1)/12)+1)</f>
        <v>4</v>
      </c>
      <c r="AU29" s="36" t="n">
        <f aca="false">IF(AU28&lt;1,1,INT((AU28-1)/12)+1)</f>
        <v>4</v>
      </c>
      <c r="AV29" s="36" t="n">
        <f aca="false">IF(AV28&lt;1,1,INT((AV28-1)/12)+1)</f>
        <v>4</v>
      </c>
      <c r="AW29" s="36" t="n">
        <f aca="false">IF(AW28&lt;1,1,INT((AW28-1)/12)+1)</f>
        <v>4</v>
      </c>
      <c r="AX29" s="36" t="n">
        <f aca="false">IF(AX28&lt;1,1,INT((AX28-1)/12)+1)</f>
        <v>4</v>
      </c>
      <c r="AY29" s="36" t="n">
        <f aca="false">IF(AY28&lt;1,1,INT((AY28-1)/12)+1)</f>
        <v>4</v>
      </c>
      <c r="AZ29" s="36" t="n">
        <f aca="false">IF(AZ28&lt;1,1,INT((AZ28-1)/12)+1)</f>
        <v>4</v>
      </c>
      <c r="BA29" s="36" t="n">
        <f aca="false">IF(BA28&lt;1,1,INT((BA28-1)/12)+1)</f>
        <v>4</v>
      </c>
      <c r="BB29" s="36" t="n">
        <f aca="false">IF(BB28&lt;1,1,INT((BB28-1)/12)+1)</f>
        <v>4</v>
      </c>
      <c r="BC29" s="36" t="n">
        <f aca="false">IF(BC28&lt;1,1,INT((BC28-1)/12)+1)</f>
        <v>4</v>
      </c>
      <c r="BD29" s="36" t="n">
        <f aca="false">IF(BD28&lt;1,1,INT((BD28-1)/12)+1)</f>
        <v>5</v>
      </c>
      <c r="BE29" s="36" t="n">
        <f aca="false">IF(BE28&lt;1,1,INT((BE28-1)/12)+1)</f>
        <v>5</v>
      </c>
      <c r="BF29" s="36" t="n">
        <f aca="false">IF(BF28&lt;1,1,INT((BF28-1)/12)+1)</f>
        <v>5</v>
      </c>
      <c r="BG29" s="36" t="n">
        <f aca="false">IF(BG28&lt;1,1,INT((BG28-1)/12)+1)</f>
        <v>5</v>
      </c>
      <c r="BH29" s="36" t="n">
        <f aca="false">IF(BH28&lt;1,1,INT((BH28-1)/12)+1)</f>
        <v>5</v>
      </c>
      <c r="BI29" s="36" t="n">
        <f aca="false">IF(BI28&lt;1,1,INT((BI28-1)/12)+1)</f>
        <v>5</v>
      </c>
      <c r="BJ29" s="36" t="n">
        <f aca="false">IF(BJ28&lt;1,1,INT((BJ28-1)/12)+1)</f>
        <v>5</v>
      </c>
      <c r="BK29" s="36" t="n">
        <f aca="false">IF(BK28&lt;1,1,INT((BK28-1)/12)+1)</f>
        <v>5</v>
      </c>
      <c r="BL29" s="36" t="n">
        <f aca="false">IF(BL28&lt;1,1,INT((BL28-1)/12)+1)</f>
        <v>5</v>
      </c>
      <c r="BM29" s="36" t="n">
        <f aca="false">IF(BM28&lt;1,1,INT((BM28-1)/12)+1)</f>
        <v>5</v>
      </c>
      <c r="BN29" s="36" t="n">
        <f aca="false">IF(BN28&lt;1,1,INT((BN28-1)/12)+1)</f>
        <v>5</v>
      </c>
      <c r="BO29" s="36" t="n">
        <f aca="false">IF(BO28&lt;1,1,INT((BO28-1)/12)+1)</f>
        <v>5</v>
      </c>
    </row>
    <row r="30" customFormat="false" ht="15" hidden="false" customHeight="false" outlineLevel="0" collapsed="false">
      <c r="B30" s="8" t="s">
        <v>338</v>
      </c>
      <c r="C30" s="36" t="n">
        <v>1</v>
      </c>
      <c r="D30" s="36" t="n">
        <v>2</v>
      </c>
      <c r="E30" s="36" t="n">
        <v>3</v>
      </c>
      <c r="F30" s="36" t="n">
        <v>4</v>
      </c>
      <c r="G30" s="36" t="n">
        <v>5</v>
      </c>
      <c r="H30" s="36" t="n">
        <v>6</v>
      </c>
      <c r="I30" s="36" t="n">
        <v>7</v>
      </c>
      <c r="J30" s="36" t="n">
        <v>8</v>
      </c>
      <c r="K30" s="36" t="n">
        <v>9</v>
      </c>
      <c r="L30" s="36" t="n">
        <v>10</v>
      </c>
      <c r="M30" s="36" t="n">
        <v>11</v>
      </c>
      <c r="N30" s="36" t="n">
        <v>12</v>
      </c>
      <c r="O30" s="36" t="n">
        <v>13</v>
      </c>
      <c r="P30" s="36" t="n">
        <v>14</v>
      </c>
      <c r="Q30" s="36" t="n">
        <v>15</v>
      </c>
      <c r="R30" s="36" t="n">
        <v>16</v>
      </c>
      <c r="S30" s="36" t="n">
        <v>17</v>
      </c>
      <c r="T30" s="36" t="n">
        <v>18</v>
      </c>
      <c r="U30" s="36" t="n">
        <v>19</v>
      </c>
      <c r="V30" s="36" t="n">
        <v>20</v>
      </c>
      <c r="W30" s="36" t="n">
        <v>21</v>
      </c>
      <c r="X30" s="36" t="n">
        <v>22</v>
      </c>
      <c r="Y30" s="36" t="n">
        <v>23</v>
      </c>
      <c r="Z30" s="36" t="n">
        <v>24</v>
      </c>
      <c r="AA30" s="36" t="n">
        <v>25</v>
      </c>
      <c r="AB30" s="36" t="n">
        <v>26</v>
      </c>
      <c r="AC30" s="36" t="n">
        <v>27</v>
      </c>
      <c r="AD30" s="36" t="n">
        <v>28</v>
      </c>
      <c r="AE30" s="36" t="n">
        <v>29</v>
      </c>
      <c r="AF30" s="36" t="n">
        <v>30</v>
      </c>
      <c r="AG30" s="36" t="n">
        <v>31</v>
      </c>
      <c r="AH30" s="36" t="n">
        <v>32</v>
      </c>
      <c r="AI30" s="36" t="n">
        <v>33</v>
      </c>
      <c r="AJ30" s="36" t="n">
        <v>34</v>
      </c>
      <c r="AK30" s="36" t="n">
        <v>35</v>
      </c>
      <c r="AL30" s="36" t="n">
        <v>36</v>
      </c>
      <c r="AM30" s="36" t="n">
        <v>37</v>
      </c>
      <c r="AN30" s="36" t="n">
        <v>38</v>
      </c>
      <c r="AO30" s="36" t="n">
        <v>39</v>
      </c>
      <c r="AP30" s="36" t="n">
        <v>40</v>
      </c>
      <c r="AQ30" s="36" t="n">
        <v>41</v>
      </c>
      <c r="AR30" s="36" t="n">
        <v>42</v>
      </c>
      <c r="AS30" s="36" t="n">
        <v>43</v>
      </c>
      <c r="AT30" s="36" t="n">
        <v>44</v>
      </c>
      <c r="AU30" s="36" t="n">
        <v>45</v>
      </c>
      <c r="AV30" s="36" t="n">
        <v>46</v>
      </c>
      <c r="AW30" s="36" t="n">
        <v>47</v>
      </c>
      <c r="AX30" s="36" t="n">
        <v>48</v>
      </c>
      <c r="AY30" s="36" t="n">
        <v>49</v>
      </c>
      <c r="AZ30" s="36" t="n">
        <v>50</v>
      </c>
      <c r="BA30" s="36" t="n">
        <v>51</v>
      </c>
      <c r="BB30" s="36" t="n">
        <v>52</v>
      </c>
      <c r="BC30" s="36" t="n">
        <v>53</v>
      </c>
      <c r="BD30" s="36" t="n">
        <v>54</v>
      </c>
      <c r="BE30" s="36" t="n">
        <v>55</v>
      </c>
      <c r="BF30" s="36" t="n">
        <v>56</v>
      </c>
      <c r="BG30" s="36" t="n">
        <v>57</v>
      </c>
      <c r="BH30" s="36" t="n">
        <v>58</v>
      </c>
      <c r="BI30" s="36" t="n">
        <v>59</v>
      </c>
      <c r="BJ30" s="36" t="n">
        <v>60</v>
      </c>
      <c r="BK30" s="36" t="n">
        <v>61</v>
      </c>
      <c r="BL30" s="36" t="n">
        <v>62</v>
      </c>
      <c r="BM30" s="36" t="n">
        <v>63</v>
      </c>
      <c r="BN30" s="36" t="n">
        <v>64</v>
      </c>
      <c r="BO30" s="36" t="n">
        <v>65</v>
      </c>
    </row>
    <row r="32" customFormat="false" ht="15" hidden="false" customHeight="false" outlineLevel="0" collapsed="false">
      <c r="B32" s="6" t="str">
        <f aca="false">Darl1_Name</f>
        <v>MBG Baden-Württemberg – stille Beteiligung Existenzgründung (wirtschaftliches Eigenkapital)</v>
      </c>
    </row>
    <row r="33" customFormat="false" ht="15" hidden="false" customHeight="false" outlineLevel="0" collapsed="false">
      <c r="B33" s="2" t="s">
        <v>413</v>
      </c>
      <c r="C33" s="25" t="n">
        <f aca="false">IF(C$28=Darl1_Auszahlung,Darl1_Betrag,0)</f>
        <v>250000</v>
      </c>
      <c r="D33" s="25" t="n">
        <f aca="false">IF(D$28=Darl1_Auszahlung,Darl1_Betrag,0)</f>
        <v>0</v>
      </c>
      <c r="E33" s="25" t="n">
        <f aca="false">IF(E$28=Darl1_Auszahlung,Darl1_Betrag,0)</f>
        <v>0</v>
      </c>
      <c r="F33" s="25" t="n">
        <f aca="false">IF(F$28=Darl1_Auszahlung,Darl1_Betrag,0)</f>
        <v>0</v>
      </c>
      <c r="G33" s="25" t="n">
        <f aca="false">IF(G$28=Darl1_Auszahlung,Darl1_Betrag,0)</f>
        <v>0</v>
      </c>
      <c r="H33" s="25" t="n">
        <f aca="false">IF(H$28=Darl1_Auszahlung,Darl1_Betrag,0)</f>
        <v>0</v>
      </c>
      <c r="I33" s="25" t="n">
        <f aca="false">IF(I$28=Darl1_Auszahlung,Darl1_Betrag,0)</f>
        <v>0</v>
      </c>
      <c r="J33" s="25" t="n">
        <f aca="false">IF(J$28=Darl1_Auszahlung,Darl1_Betrag,0)</f>
        <v>0</v>
      </c>
      <c r="K33" s="25" t="n">
        <f aca="false">IF(K$28=Darl1_Auszahlung,Darl1_Betrag,0)</f>
        <v>0</v>
      </c>
      <c r="L33" s="25" t="n">
        <f aca="false">IF(L$28=Darl1_Auszahlung,Darl1_Betrag,0)</f>
        <v>0</v>
      </c>
      <c r="M33" s="25" t="n">
        <f aca="false">IF(M$28=Darl1_Auszahlung,Darl1_Betrag,0)</f>
        <v>0</v>
      </c>
      <c r="N33" s="25" t="n">
        <f aca="false">IF(N$28=Darl1_Auszahlung,Darl1_Betrag,0)</f>
        <v>0</v>
      </c>
      <c r="O33" s="25" t="n">
        <f aca="false">IF(O$28=Darl1_Auszahlung,Darl1_Betrag,0)</f>
        <v>0</v>
      </c>
      <c r="P33" s="25" t="n">
        <f aca="false">IF(P$28=Darl1_Auszahlung,Darl1_Betrag,0)</f>
        <v>0</v>
      </c>
      <c r="Q33" s="25" t="n">
        <f aca="false">IF(Q$28=Darl1_Auszahlung,Darl1_Betrag,0)</f>
        <v>0</v>
      </c>
      <c r="R33" s="25" t="n">
        <f aca="false">IF(R$28=Darl1_Auszahlung,Darl1_Betrag,0)</f>
        <v>0</v>
      </c>
      <c r="S33" s="25" t="n">
        <f aca="false">IF(S$28=Darl1_Auszahlung,Darl1_Betrag,0)</f>
        <v>0</v>
      </c>
      <c r="T33" s="25" t="n">
        <f aca="false">IF(T$28=Darl1_Auszahlung,Darl1_Betrag,0)</f>
        <v>0</v>
      </c>
      <c r="U33" s="25" t="n">
        <f aca="false">IF(U$28=Darl1_Auszahlung,Darl1_Betrag,0)</f>
        <v>0</v>
      </c>
      <c r="V33" s="25" t="n">
        <f aca="false">IF(V$28=Darl1_Auszahlung,Darl1_Betrag,0)</f>
        <v>0</v>
      </c>
      <c r="W33" s="25" t="n">
        <f aca="false">IF(W$28=Darl1_Auszahlung,Darl1_Betrag,0)</f>
        <v>0</v>
      </c>
      <c r="X33" s="25" t="n">
        <f aca="false">IF(X$28=Darl1_Auszahlung,Darl1_Betrag,0)</f>
        <v>0</v>
      </c>
      <c r="Y33" s="25" t="n">
        <f aca="false">IF(Y$28=Darl1_Auszahlung,Darl1_Betrag,0)</f>
        <v>0</v>
      </c>
      <c r="Z33" s="25" t="n">
        <f aca="false">IF(Z$28=Darl1_Auszahlung,Darl1_Betrag,0)</f>
        <v>0</v>
      </c>
      <c r="AA33" s="25" t="n">
        <f aca="false">IF(AA$28=Darl1_Auszahlung,Darl1_Betrag,0)</f>
        <v>0</v>
      </c>
      <c r="AB33" s="25" t="n">
        <f aca="false">IF(AB$28=Darl1_Auszahlung,Darl1_Betrag,0)</f>
        <v>0</v>
      </c>
      <c r="AC33" s="25" t="n">
        <f aca="false">IF(AC$28=Darl1_Auszahlung,Darl1_Betrag,0)</f>
        <v>0</v>
      </c>
      <c r="AD33" s="25" t="n">
        <f aca="false">IF(AD$28=Darl1_Auszahlung,Darl1_Betrag,0)</f>
        <v>0</v>
      </c>
      <c r="AE33" s="25" t="n">
        <f aca="false">IF(AE$28=Darl1_Auszahlung,Darl1_Betrag,0)</f>
        <v>0</v>
      </c>
      <c r="AF33" s="25" t="n">
        <f aca="false">IF(AF$28=Darl1_Auszahlung,Darl1_Betrag,0)</f>
        <v>0</v>
      </c>
      <c r="AG33" s="25" t="n">
        <f aca="false">IF(AG$28=Darl1_Auszahlung,Darl1_Betrag,0)</f>
        <v>0</v>
      </c>
      <c r="AH33" s="25" t="n">
        <f aca="false">IF(AH$28=Darl1_Auszahlung,Darl1_Betrag,0)</f>
        <v>0</v>
      </c>
      <c r="AI33" s="25" t="n">
        <f aca="false">IF(AI$28=Darl1_Auszahlung,Darl1_Betrag,0)</f>
        <v>0</v>
      </c>
      <c r="AJ33" s="25" t="n">
        <f aca="false">IF(AJ$28=Darl1_Auszahlung,Darl1_Betrag,0)</f>
        <v>0</v>
      </c>
      <c r="AK33" s="25" t="n">
        <f aca="false">IF(AK$28=Darl1_Auszahlung,Darl1_Betrag,0)</f>
        <v>0</v>
      </c>
      <c r="AL33" s="25" t="n">
        <f aca="false">IF(AL$28=Darl1_Auszahlung,Darl1_Betrag,0)</f>
        <v>0</v>
      </c>
      <c r="AM33" s="25" t="n">
        <f aca="false">IF(AM$28=Darl1_Auszahlung,Darl1_Betrag,0)</f>
        <v>0</v>
      </c>
      <c r="AN33" s="25" t="n">
        <f aca="false">IF(AN$28=Darl1_Auszahlung,Darl1_Betrag,0)</f>
        <v>0</v>
      </c>
      <c r="AO33" s="25" t="n">
        <f aca="false">IF(AO$28=Darl1_Auszahlung,Darl1_Betrag,0)</f>
        <v>0</v>
      </c>
      <c r="AP33" s="25" t="n">
        <f aca="false">IF(AP$28=Darl1_Auszahlung,Darl1_Betrag,0)</f>
        <v>0</v>
      </c>
      <c r="AQ33" s="25" t="n">
        <f aca="false">IF(AQ$28=Darl1_Auszahlung,Darl1_Betrag,0)</f>
        <v>0</v>
      </c>
      <c r="AR33" s="25" t="n">
        <f aca="false">IF(AR$28=Darl1_Auszahlung,Darl1_Betrag,0)</f>
        <v>0</v>
      </c>
      <c r="AS33" s="25" t="n">
        <f aca="false">IF(AS$28=Darl1_Auszahlung,Darl1_Betrag,0)</f>
        <v>0</v>
      </c>
      <c r="AT33" s="25" t="n">
        <f aca="false">IF(AT$28=Darl1_Auszahlung,Darl1_Betrag,0)</f>
        <v>0</v>
      </c>
      <c r="AU33" s="25" t="n">
        <f aca="false">IF(AU$28=Darl1_Auszahlung,Darl1_Betrag,0)</f>
        <v>0</v>
      </c>
      <c r="AV33" s="25" t="n">
        <f aca="false">IF(AV$28=Darl1_Auszahlung,Darl1_Betrag,0)</f>
        <v>0</v>
      </c>
      <c r="AW33" s="25" t="n">
        <f aca="false">IF(AW$28=Darl1_Auszahlung,Darl1_Betrag,0)</f>
        <v>0</v>
      </c>
      <c r="AX33" s="25" t="n">
        <f aca="false">IF(AX$28=Darl1_Auszahlung,Darl1_Betrag,0)</f>
        <v>0</v>
      </c>
      <c r="AY33" s="25" t="n">
        <f aca="false">IF(AY$28=Darl1_Auszahlung,Darl1_Betrag,0)</f>
        <v>0</v>
      </c>
      <c r="AZ33" s="25" t="n">
        <f aca="false">IF(AZ$28=Darl1_Auszahlung,Darl1_Betrag,0)</f>
        <v>0</v>
      </c>
      <c r="BA33" s="25" t="n">
        <f aca="false">IF(BA$28=Darl1_Auszahlung,Darl1_Betrag,0)</f>
        <v>0</v>
      </c>
      <c r="BB33" s="25" t="n">
        <f aca="false">IF(BB$28=Darl1_Auszahlung,Darl1_Betrag,0)</f>
        <v>0</v>
      </c>
      <c r="BC33" s="25" t="n">
        <f aca="false">IF(BC$28=Darl1_Auszahlung,Darl1_Betrag,0)</f>
        <v>0</v>
      </c>
      <c r="BD33" s="25" t="n">
        <f aca="false">IF(BD$28=Darl1_Auszahlung,Darl1_Betrag,0)</f>
        <v>0</v>
      </c>
      <c r="BE33" s="25" t="n">
        <f aca="false">IF(BE$28=Darl1_Auszahlung,Darl1_Betrag,0)</f>
        <v>0</v>
      </c>
      <c r="BF33" s="25" t="n">
        <f aca="false">IF(BF$28=Darl1_Auszahlung,Darl1_Betrag,0)</f>
        <v>0</v>
      </c>
      <c r="BG33" s="25" t="n">
        <f aca="false">IF(BG$28=Darl1_Auszahlung,Darl1_Betrag,0)</f>
        <v>0</v>
      </c>
      <c r="BH33" s="25" t="n">
        <f aca="false">IF(BH$28=Darl1_Auszahlung,Darl1_Betrag,0)</f>
        <v>0</v>
      </c>
      <c r="BI33" s="25" t="n">
        <f aca="false">IF(BI$28=Darl1_Auszahlung,Darl1_Betrag,0)</f>
        <v>0</v>
      </c>
      <c r="BJ33" s="25" t="n">
        <f aca="false">IF(BJ$28=Darl1_Auszahlung,Darl1_Betrag,0)</f>
        <v>0</v>
      </c>
      <c r="BK33" s="25" t="n">
        <f aca="false">IF(BK$28=Darl1_Auszahlung,Darl1_Betrag,0)</f>
        <v>0</v>
      </c>
      <c r="BL33" s="25" t="n">
        <f aca="false">IF(BL$28=Darl1_Auszahlung,Darl1_Betrag,0)</f>
        <v>0</v>
      </c>
      <c r="BM33" s="25" t="n">
        <f aca="false">IF(BM$28=Darl1_Auszahlung,Darl1_Betrag,0)</f>
        <v>0</v>
      </c>
      <c r="BN33" s="25" t="n">
        <f aca="false">IF(BN$28=Darl1_Auszahlung,Darl1_Betrag,0)</f>
        <v>0</v>
      </c>
      <c r="BO33" s="25" t="n">
        <f aca="false">IF(BO$28=Darl1_Auszahlung,Darl1_Betrag,0)</f>
        <v>0</v>
      </c>
    </row>
    <row r="34" customFormat="false" ht="15" hidden="false" customHeight="false" outlineLevel="0" collapsed="false">
      <c r="B34" s="2" t="s">
        <v>414</v>
      </c>
      <c r="C34" s="25" t="n">
        <f aca="false">IF(C37&gt;=0,(C33)*Darl1_Zins/12,0)</f>
        <v>1458.33333333333</v>
      </c>
      <c r="D34" s="25" t="n">
        <f aca="false">IF(D37&gt;=0,(C36+D33)*Darl1_Zins/12,0)</f>
        <v>1458.33333333333</v>
      </c>
      <c r="E34" s="25" t="n">
        <f aca="false">IF(E37&gt;=0,(D36+E33)*Darl1_Zins/12,0)</f>
        <v>1458.33333333333</v>
      </c>
      <c r="F34" s="25" t="n">
        <f aca="false">IF(F37&gt;=0,(E36+F33)*Darl1_Zins/12,0)</f>
        <v>1458.33333333333</v>
      </c>
      <c r="G34" s="25" t="n">
        <f aca="false">IF(G37&gt;=0,(F36+G33)*Darl1_Zins/12,0)</f>
        <v>1458.33333333333</v>
      </c>
      <c r="H34" s="25" t="n">
        <f aca="false">IF(H37&gt;=0,(G36+H33)*Darl1_Zins/12,0)</f>
        <v>1458.33333333333</v>
      </c>
      <c r="I34" s="25" t="n">
        <f aca="false">IF(I37&gt;=0,(H36+I33)*Darl1_Zins/12,0)</f>
        <v>1458.33333333333</v>
      </c>
      <c r="J34" s="25" t="n">
        <f aca="false">IF(J37&gt;=0,(I36+J33)*Darl1_Zins/12,0)</f>
        <v>1458.33333333333</v>
      </c>
      <c r="K34" s="25" t="n">
        <f aca="false">IF(K37&gt;=0,(J36+K33)*Darl1_Zins/12,0)</f>
        <v>1458.33333333333</v>
      </c>
      <c r="L34" s="25" t="n">
        <f aca="false">IF(L37&gt;=0,(K36+L33)*Darl1_Zins/12,0)</f>
        <v>1458.33333333333</v>
      </c>
      <c r="M34" s="25" t="n">
        <f aca="false">IF(M37&gt;=0,(L36+M33)*Darl1_Zins/12,0)</f>
        <v>1458.33333333333</v>
      </c>
      <c r="N34" s="25" t="n">
        <f aca="false">IF(N37&gt;=0,(M36+N33)*Darl1_Zins/12,0)</f>
        <v>1458.33333333333</v>
      </c>
      <c r="O34" s="25" t="n">
        <f aca="false">IF(O37&gt;=0,(N36+O33)*Darl1_Zins/12,0)</f>
        <v>1458.33333333333</v>
      </c>
      <c r="P34" s="25" t="n">
        <f aca="false">IF(P37&gt;=0,(O36+P33)*Darl1_Zins/12,0)</f>
        <v>1458.33333333333</v>
      </c>
      <c r="Q34" s="25" t="n">
        <f aca="false">IF(Q37&gt;=0,(P36+Q33)*Darl1_Zins/12,0)</f>
        <v>1458.33333333333</v>
      </c>
      <c r="R34" s="25" t="n">
        <f aca="false">IF(R37&gt;=0,(Q36+R33)*Darl1_Zins/12,0)</f>
        <v>1458.33333333333</v>
      </c>
      <c r="S34" s="25" t="n">
        <f aca="false">IF(S37&gt;=0,(R36+S33)*Darl1_Zins/12,0)</f>
        <v>1458.33333333333</v>
      </c>
      <c r="T34" s="25" t="n">
        <f aca="false">IF(T37&gt;=0,(S36+T33)*Darl1_Zins/12,0)</f>
        <v>1458.33333333333</v>
      </c>
      <c r="U34" s="25" t="n">
        <f aca="false">IF(U37&gt;=0,(T36+U33)*Darl1_Zins/12,0)</f>
        <v>1458.33333333333</v>
      </c>
      <c r="V34" s="25" t="n">
        <f aca="false">IF(V37&gt;=0,(U36+V33)*Darl1_Zins/12,0)</f>
        <v>1458.33333333333</v>
      </c>
      <c r="W34" s="25" t="n">
        <f aca="false">IF(W37&gt;=0,(V36+W33)*Darl1_Zins/12,0)</f>
        <v>1458.33333333333</v>
      </c>
      <c r="X34" s="25" t="n">
        <f aca="false">IF(X37&gt;=0,(W36+X33)*Darl1_Zins/12,0)</f>
        <v>1458.33333333333</v>
      </c>
      <c r="Y34" s="25" t="n">
        <f aca="false">IF(Y37&gt;=0,(X36+Y33)*Darl1_Zins/12,0)</f>
        <v>1458.33333333333</v>
      </c>
      <c r="Z34" s="25" t="n">
        <f aca="false">IF(Z37&gt;=0,(Y36+Z33)*Darl1_Zins/12,0)</f>
        <v>1458.33333333333</v>
      </c>
      <c r="AA34" s="25" t="n">
        <f aca="false">IF(AA37&gt;=0,(Z36+AA33)*Darl1_Zins/12,0)</f>
        <v>1458.33333333333</v>
      </c>
      <c r="AB34" s="25" t="n">
        <f aca="false">IF(AB37&gt;=0,(AA36+AB33)*Darl1_Zins/12,0)</f>
        <v>1458.33333333333</v>
      </c>
      <c r="AC34" s="25" t="n">
        <f aca="false">IF(AC37&gt;=0,(AB36+AC33)*Darl1_Zins/12,0)</f>
        <v>1458.33333333333</v>
      </c>
      <c r="AD34" s="25" t="n">
        <f aca="false">IF(AD37&gt;=0,(AC36+AD33)*Darl1_Zins/12,0)</f>
        <v>1458.33333333333</v>
      </c>
      <c r="AE34" s="25" t="n">
        <f aca="false">IF(AE37&gt;=0,(AD36+AE33)*Darl1_Zins/12,0)</f>
        <v>1458.33333333333</v>
      </c>
      <c r="AF34" s="25" t="n">
        <f aca="false">IF(AF37&gt;=0,(AE36+AF33)*Darl1_Zins/12,0)</f>
        <v>1458.33333333333</v>
      </c>
      <c r="AG34" s="25" t="n">
        <f aca="false">IF(AG37&gt;=0,(AF36+AG33)*Darl1_Zins/12,0)</f>
        <v>1458.33333333333</v>
      </c>
      <c r="AH34" s="25" t="n">
        <f aca="false">IF(AH37&gt;=0,(AG36+AH33)*Darl1_Zins/12,0)</f>
        <v>1458.33333333333</v>
      </c>
      <c r="AI34" s="25" t="n">
        <f aca="false">IF(AI37&gt;=0,(AH36+AI33)*Darl1_Zins/12,0)</f>
        <v>1458.33333333333</v>
      </c>
      <c r="AJ34" s="25" t="n">
        <f aca="false">IF(AJ37&gt;=0,(AI36+AJ33)*Darl1_Zins/12,0)</f>
        <v>1458.33333333333</v>
      </c>
      <c r="AK34" s="25" t="n">
        <f aca="false">IF(AK37&gt;=0,(AJ36+AK33)*Darl1_Zins/12,0)</f>
        <v>1458.33333333333</v>
      </c>
      <c r="AL34" s="25" t="n">
        <f aca="false">IF(AL37&gt;=0,(AK36+AL33)*Darl1_Zins/12,0)</f>
        <v>1458.33333333333</v>
      </c>
      <c r="AM34" s="25" t="n">
        <f aca="false">IF(AM37&gt;=0,(AL36+AM33)*Darl1_Zins/12,0)</f>
        <v>1458.33333333333</v>
      </c>
      <c r="AN34" s="25" t="n">
        <f aca="false">IF(AN37&gt;=0,(AM36+AN33)*Darl1_Zins/12,0)</f>
        <v>1458.33333333333</v>
      </c>
      <c r="AO34" s="25" t="n">
        <f aca="false">IF(AO37&gt;=0,(AN36+AO33)*Darl1_Zins/12,0)</f>
        <v>1458.33333333333</v>
      </c>
      <c r="AP34" s="25" t="n">
        <f aca="false">IF(AP37&gt;=0,(AO36+AP33)*Darl1_Zins/12,0)</f>
        <v>1458.33333333333</v>
      </c>
      <c r="AQ34" s="25" t="n">
        <f aca="false">IF(AQ37&gt;=0,(AP36+AQ33)*Darl1_Zins/12,0)</f>
        <v>1458.33333333333</v>
      </c>
      <c r="AR34" s="25" t="n">
        <f aca="false">IF(AR37&gt;=0,(AQ36+AR33)*Darl1_Zins/12,0)</f>
        <v>1458.33333333333</v>
      </c>
      <c r="AS34" s="25" t="n">
        <f aca="false">IF(AS37&gt;=0,(AR36+AS33)*Darl1_Zins/12,0)</f>
        <v>1458.33333333333</v>
      </c>
      <c r="AT34" s="25" t="n">
        <f aca="false">IF(AT37&gt;=0,(AS36+AT33)*Darl1_Zins/12,0)</f>
        <v>1458.33333333333</v>
      </c>
      <c r="AU34" s="25" t="n">
        <f aca="false">IF(AU37&gt;=0,(AT36+AU33)*Darl1_Zins/12,0)</f>
        <v>1458.33333333333</v>
      </c>
      <c r="AV34" s="25" t="n">
        <f aca="false">IF(AV37&gt;=0,(AU36+AV33)*Darl1_Zins/12,0)</f>
        <v>1458.33333333333</v>
      </c>
      <c r="AW34" s="25" t="n">
        <f aca="false">IF(AW37&gt;=0,(AV36+AW33)*Darl1_Zins/12,0)</f>
        <v>1458.33333333333</v>
      </c>
      <c r="AX34" s="25" t="n">
        <f aca="false">IF(AX37&gt;=0,(AW36+AX33)*Darl1_Zins/12,0)</f>
        <v>1458.33333333333</v>
      </c>
      <c r="AY34" s="25" t="n">
        <f aca="false">IF(AY37&gt;=0,(AX36+AY33)*Darl1_Zins/12,0)</f>
        <v>1458.33333333333</v>
      </c>
      <c r="AZ34" s="25" t="n">
        <f aca="false">IF(AZ37&gt;=0,(AY36+AZ33)*Darl1_Zins/12,0)</f>
        <v>1458.33333333333</v>
      </c>
      <c r="BA34" s="25" t="n">
        <f aca="false">IF(BA37&gt;=0,(AZ36+BA33)*Darl1_Zins/12,0)</f>
        <v>1458.33333333333</v>
      </c>
      <c r="BB34" s="25" t="n">
        <f aca="false">IF(BB37&gt;=0,(BA36+BB33)*Darl1_Zins/12,0)</f>
        <v>1458.33333333333</v>
      </c>
      <c r="BC34" s="25" t="n">
        <f aca="false">IF(BC37&gt;=0,(BB36+BC33)*Darl1_Zins/12,0)</f>
        <v>1458.33333333333</v>
      </c>
      <c r="BD34" s="25" t="n">
        <f aca="false">IF(BD37&gt;=0,(BC36+BD33)*Darl1_Zins/12,0)</f>
        <v>1458.33333333333</v>
      </c>
      <c r="BE34" s="25" t="n">
        <f aca="false">IF(BE37&gt;=0,(BD36+BE33)*Darl1_Zins/12,0)</f>
        <v>1458.33333333333</v>
      </c>
      <c r="BF34" s="25" t="n">
        <f aca="false">IF(BF37&gt;=0,(BE36+BF33)*Darl1_Zins/12,0)</f>
        <v>1458.33333333333</v>
      </c>
      <c r="BG34" s="25" t="n">
        <f aca="false">IF(BG37&gt;=0,(BF36+BG33)*Darl1_Zins/12,0)</f>
        <v>1458.33333333333</v>
      </c>
      <c r="BH34" s="25" t="n">
        <f aca="false">IF(BH37&gt;=0,(BG36+BH33)*Darl1_Zins/12,0)</f>
        <v>1458.33333333333</v>
      </c>
      <c r="BI34" s="25" t="n">
        <f aca="false">IF(BI37&gt;=0,(BH36+BI33)*Darl1_Zins/12,0)</f>
        <v>1458.33333333333</v>
      </c>
      <c r="BJ34" s="25" t="n">
        <f aca="false">IF(BJ37&gt;=0,(BI36+BJ33)*Darl1_Zins/12,0)</f>
        <v>1458.33333333333</v>
      </c>
      <c r="BK34" s="25" t="n">
        <f aca="false">IF(BK37&gt;=0,(BJ36+BK33)*Darl1_Zins/12,0)</f>
        <v>1458.33333333333</v>
      </c>
      <c r="BL34" s="25" t="n">
        <f aca="false">IF(BL37&gt;=0,(BK36+BL33)*Darl1_Zins/12,0)</f>
        <v>1458.33333333333</v>
      </c>
      <c r="BM34" s="25" t="n">
        <f aca="false">IF(BM37&gt;=0,(BL36+BM33)*Darl1_Zins/12,0)</f>
        <v>1458.33333333333</v>
      </c>
      <c r="BN34" s="25" t="n">
        <f aca="false">IF(BN37&gt;=0,(BM36+BN33)*Darl1_Zins/12,0)</f>
        <v>1458.33333333333</v>
      </c>
      <c r="BO34" s="25" t="n">
        <f aca="false">IF(BO37&gt;=0,(BN36+BO33)*Darl1_Zins/12,0)</f>
        <v>1458.33333333333</v>
      </c>
    </row>
    <row r="35" customFormat="false" ht="15" hidden="false" customHeight="false" outlineLevel="0" collapsed="false">
      <c r="B35" s="2" t="s">
        <v>415</v>
      </c>
      <c r="C35" s="25" t="n">
        <f aca="false">IF(Darl1_Laufzeit&gt;Darl1_Frei,IF(C37&gt;=Darl1_Frei*12,MIN(Darl1_Betrag/((Darl1_Laufzeit-Darl1_Frei)*12),(C33)),0),IF(C37=Darl1_Laufzeit*12-1,(C33),0))</f>
        <v>0</v>
      </c>
      <c r="D35" s="25" t="n">
        <f aca="false">IF(Darl1_Laufzeit&gt;Darl1_Frei,IF(D37&gt;=Darl1_Frei*12,MIN(Darl1_Betrag/((Darl1_Laufzeit-Darl1_Frei)*12),(C36+D33)),0),IF(D37=Darl1_Laufzeit*12-1,(C36+D33),0))</f>
        <v>0</v>
      </c>
      <c r="E35" s="25" t="n">
        <f aca="false">IF(Darl1_Laufzeit&gt;Darl1_Frei,IF(E37&gt;=Darl1_Frei*12,MIN(Darl1_Betrag/((Darl1_Laufzeit-Darl1_Frei)*12),(D36+E33)),0),IF(E37=Darl1_Laufzeit*12-1,(D36+E33),0))</f>
        <v>0</v>
      </c>
      <c r="F35" s="25" t="n">
        <f aca="false">IF(Darl1_Laufzeit&gt;Darl1_Frei,IF(F37&gt;=Darl1_Frei*12,MIN(Darl1_Betrag/((Darl1_Laufzeit-Darl1_Frei)*12),(E36+F33)),0),IF(F37=Darl1_Laufzeit*12-1,(E36+F33),0))</f>
        <v>0</v>
      </c>
      <c r="G35" s="25" t="n">
        <f aca="false">IF(Darl1_Laufzeit&gt;Darl1_Frei,IF(G37&gt;=Darl1_Frei*12,MIN(Darl1_Betrag/((Darl1_Laufzeit-Darl1_Frei)*12),(F36+G33)),0),IF(G37=Darl1_Laufzeit*12-1,(F36+G33),0))</f>
        <v>0</v>
      </c>
      <c r="H35" s="25" t="n">
        <f aca="false">IF(Darl1_Laufzeit&gt;Darl1_Frei,IF(H37&gt;=Darl1_Frei*12,MIN(Darl1_Betrag/((Darl1_Laufzeit-Darl1_Frei)*12),(G36+H33)),0),IF(H37=Darl1_Laufzeit*12-1,(G36+H33),0))</f>
        <v>0</v>
      </c>
      <c r="I35" s="25" t="n">
        <f aca="false">IF(Darl1_Laufzeit&gt;Darl1_Frei,IF(I37&gt;=Darl1_Frei*12,MIN(Darl1_Betrag/((Darl1_Laufzeit-Darl1_Frei)*12),(H36+I33)),0),IF(I37=Darl1_Laufzeit*12-1,(H36+I33),0))</f>
        <v>0</v>
      </c>
      <c r="J35" s="25" t="n">
        <f aca="false">IF(Darl1_Laufzeit&gt;Darl1_Frei,IF(J37&gt;=Darl1_Frei*12,MIN(Darl1_Betrag/((Darl1_Laufzeit-Darl1_Frei)*12),(I36+J33)),0),IF(J37=Darl1_Laufzeit*12-1,(I36+J33),0))</f>
        <v>0</v>
      </c>
      <c r="K35" s="25" t="n">
        <f aca="false">IF(Darl1_Laufzeit&gt;Darl1_Frei,IF(K37&gt;=Darl1_Frei*12,MIN(Darl1_Betrag/((Darl1_Laufzeit-Darl1_Frei)*12),(J36+K33)),0),IF(K37=Darl1_Laufzeit*12-1,(J36+K33),0))</f>
        <v>0</v>
      </c>
      <c r="L35" s="25" t="n">
        <f aca="false">IF(Darl1_Laufzeit&gt;Darl1_Frei,IF(L37&gt;=Darl1_Frei*12,MIN(Darl1_Betrag/((Darl1_Laufzeit-Darl1_Frei)*12),(K36+L33)),0),IF(L37=Darl1_Laufzeit*12-1,(K36+L33),0))</f>
        <v>0</v>
      </c>
      <c r="M35" s="25" t="n">
        <f aca="false">IF(Darl1_Laufzeit&gt;Darl1_Frei,IF(M37&gt;=Darl1_Frei*12,MIN(Darl1_Betrag/((Darl1_Laufzeit-Darl1_Frei)*12),(L36+M33)),0),IF(M37=Darl1_Laufzeit*12-1,(L36+M33),0))</f>
        <v>0</v>
      </c>
      <c r="N35" s="25" t="n">
        <f aca="false">IF(Darl1_Laufzeit&gt;Darl1_Frei,IF(N37&gt;=Darl1_Frei*12,MIN(Darl1_Betrag/((Darl1_Laufzeit-Darl1_Frei)*12),(M36+N33)),0),IF(N37=Darl1_Laufzeit*12-1,(M36+N33),0))</f>
        <v>0</v>
      </c>
      <c r="O35" s="25" t="n">
        <f aca="false">IF(Darl1_Laufzeit&gt;Darl1_Frei,IF(O37&gt;=Darl1_Frei*12,MIN(Darl1_Betrag/((Darl1_Laufzeit-Darl1_Frei)*12),(N36+O33)),0),IF(O37=Darl1_Laufzeit*12-1,(N36+O33),0))</f>
        <v>0</v>
      </c>
      <c r="P35" s="25" t="n">
        <f aca="false">IF(Darl1_Laufzeit&gt;Darl1_Frei,IF(P37&gt;=Darl1_Frei*12,MIN(Darl1_Betrag/((Darl1_Laufzeit-Darl1_Frei)*12),(O36+P33)),0),IF(P37=Darl1_Laufzeit*12-1,(O36+P33),0))</f>
        <v>0</v>
      </c>
      <c r="Q35" s="25" t="n">
        <f aca="false">IF(Darl1_Laufzeit&gt;Darl1_Frei,IF(Q37&gt;=Darl1_Frei*12,MIN(Darl1_Betrag/((Darl1_Laufzeit-Darl1_Frei)*12),(P36+Q33)),0),IF(Q37=Darl1_Laufzeit*12-1,(P36+Q33),0))</f>
        <v>0</v>
      </c>
      <c r="R35" s="25" t="n">
        <f aca="false">IF(Darl1_Laufzeit&gt;Darl1_Frei,IF(R37&gt;=Darl1_Frei*12,MIN(Darl1_Betrag/((Darl1_Laufzeit-Darl1_Frei)*12),(Q36+R33)),0),IF(R37=Darl1_Laufzeit*12-1,(Q36+R33),0))</f>
        <v>0</v>
      </c>
      <c r="S35" s="25" t="n">
        <f aca="false">IF(Darl1_Laufzeit&gt;Darl1_Frei,IF(S37&gt;=Darl1_Frei*12,MIN(Darl1_Betrag/((Darl1_Laufzeit-Darl1_Frei)*12),(R36+S33)),0),IF(S37=Darl1_Laufzeit*12-1,(R36+S33),0))</f>
        <v>0</v>
      </c>
      <c r="T35" s="25" t="n">
        <f aca="false">IF(Darl1_Laufzeit&gt;Darl1_Frei,IF(T37&gt;=Darl1_Frei*12,MIN(Darl1_Betrag/((Darl1_Laufzeit-Darl1_Frei)*12),(S36+T33)),0),IF(T37=Darl1_Laufzeit*12-1,(S36+T33),0))</f>
        <v>0</v>
      </c>
      <c r="U35" s="25" t="n">
        <f aca="false">IF(Darl1_Laufzeit&gt;Darl1_Frei,IF(U37&gt;=Darl1_Frei*12,MIN(Darl1_Betrag/((Darl1_Laufzeit-Darl1_Frei)*12),(T36+U33)),0),IF(U37=Darl1_Laufzeit*12-1,(T36+U33),0))</f>
        <v>0</v>
      </c>
      <c r="V35" s="25" t="n">
        <f aca="false">IF(Darl1_Laufzeit&gt;Darl1_Frei,IF(V37&gt;=Darl1_Frei*12,MIN(Darl1_Betrag/((Darl1_Laufzeit-Darl1_Frei)*12),(U36+V33)),0),IF(V37=Darl1_Laufzeit*12-1,(U36+V33),0))</f>
        <v>0</v>
      </c>
      <c r="W35" s="25" t="n">
        <f aca="false">IF(Darl1_Laufzeit&gt;Darl1_Frei,IF(W37&gt;=Darl1_Frei*12,MIN(Darl1_Betrag/((Darl1_Laufzeit-Darl1_Frei)*12),(V36+W33)),0),IF(W37=Darl1_Laufzeit*12-1,(V36+W33),0))</f>
        <v>0</v>
      </c>
      <c r="X35" s="25" t="n">
        <f aca="false">IF(Darl1_Laufzeit&gt;Darl1_Frei,IF(X37&gt;=Darl1_Frei*12,MIN(Darl1_Betrag/((Darl1_Laufzeit-Darl1_Frei)*12),(W36+X33)),0),IF(X37=Darl1_Laufzeit*12-1,(W36+X33),0))</f>
        <v>0</v>
      </c>
      <c r="Y35" s="25" t="n">
        <f aca="false">IF(Darl1_Laufzeit&gt;Darl1_Frei,IF(Y37&gt;=Darl1_Frei*12,MIN(Darl1_Betrag/((Darl1_Laufzeit-Darl1_Frei)*12),(X36+Y33)),0),IF(Y37=Darl1_Laufzeit*12-1,(X36+Y33),0))</f>
        <v>0</v>
      </c>
      <c r="Z35" s="25" t="n">
        <f aca="false">IF(Darl1_Laufzeit&gt;Darl1_Frei,IF(Z37&gt;=Darl1_Frei*12,MIN(Darl1_Betrag/((Darl1_Laufzeit-Darl1_Frei)*12),(Y36+Z33)),0),IF(Z37=Darl1_Laufzeit*12-1,(Y36+Z33),0))</f>
        <v>0</v>
      </c>
      <c r="AA35" s="25" t="n">
        <f aca="false">IF(Darl1_Laufzeit&gt;Darl1_Frei,IF(AA37&gt;=Darl1_Frei*12,MIN(Darl1_Betrag/((Darl1_Laufzeit-Darl1_Frei)*12),(Z36+AA33)),0),IF(AA37=Darl1_Laufzeit*12-1,(Z36+AA33),0))</f>
        <v>0</v>
      </c>
      <c r="AB35" s="25" t="n">
        <f aca="false">IF(Darl1_Laufzeit&gt;Darl1_Frei,IF(AB37&gt;=Darl1_Frei*12,MIN(Darl1_Betrag/((Darl1_Laufzeit-Darl1_Frei)*12),(AA36+AB33)),0),IF(AB37=Darl1_Laufzeit*12-1,(AA36+AB33),0))</f>
        <v>0</v>
      </c>
      <c r="AC35" s="25" t="n">
        <f aca="false">IF(Darl1_Laufzeit&gt;Darl1_Frei,IF(AC37&gt;=Darl1_Frei*12,MIN(Darl1_Betrag/((Darl1_Laufzeit-Darl1_Frei)*12),(AB36+AC33)),0),IF(AC37=Darl1_Laufzeit*12-1,(AB36+AC33),0))</f>
        <v>0</v>
      </c>
      <c r="AD35" s="25" t="n">
        <f aca="false">IF(Darl1_Laufzeit&gt;Darl1_Frei,IF(AD37&gt;=Darl1_Frei*12,MIN(Darl1_Betrag/((Darl1_Laufzeit-Darl1_Frei)*12),(AC36+AD33)),0),IF(AD37=Darl1_Laufzeit*12-1,(AC36+AD33),0))</f>
        <v>0</v>
      </c>
      <c r="AE35" s="25" t="n">
        <f aca="false">IF(Darl1_Laufzeit&gt;Darl1_Frei,IF(AE37&gt;=Darl1_Frei*12,MIN(Darl1_Betrag/((Darl1_Laufzeit-Darl1_Frei)*12),(AD36+AE33)),0),IF(AE37=Darl1_Laufzeit*12-1,(AD36+AE33),0))</f>
        <v>0</v>
      </c>
      <c r="AF35" s="25" t="n">
        <f aca="false">IF(Darl1_Laufzeit&gt;Darl1_Frei,IF(AF37&gt;=Darl1_Frei*12,MIN(Darl1_Betrag/((Darl1_Laufzeit-Darl1_Frei)*12),(AE36+AF33)),0),IF(AF37=Darl1_Laufzeit*12-1,(AE36+AF33),0))</f>
        <v>0</v>
      </c>
      <c r="AG35" s="25" t="n">
        <f aca="false">IF(Darl1_Laufzeit&gt;Darl1_Frei,IF(AG37&gt;=Darl1_Frei*12,MIN(Darl1_Betrag/((Darl1_Laufzeit-Darl1_Frei)*12),(AF36+AG33)),0),IF(AG37=Darl1_Laufzeit*12-1,(AF36+AG33),0))</f>
        <v>0</v>
      </c>
      <c r="AH35" s="25" t="n">
        <f aca="false">IF(Darl1_Laufzeit&gt;Darl1_Frei,IF(AH37&gt;=Darl1_Frei*12,MIN(Darl1_Betrag/((Darl1_Laufzeit-Darl1_Frei)*12),(AG36+AH33)),0),IF(AH37=Darl1_Laufzeit*12-1,(AG36+AH33),0))</f>
        <v>0</v>
      </c>
      <c r="AI35" s="25" t="n">
        <f aca="false">IF(Darl1_Laufzeit&gt;Darl1_Frei,IF(AI37&gt;=Darl1_Frei*12,MIN(Darl1_Betrag/((Darl1_Laufzeit-Darl1_Frei)*12),(AH36+AI33)),0),IF(AI37=Darl1_Laufzeit*12-1,(AH36+AI33),0))</f>
        <v>0</v>
      </c>
      <c r="AJ35" s="25" t="n">
        <f aca="false">IF(Darl1_Laufzeit&gt;Darl1_Frei,IF(AJ37&gt;=Darl1_Frei*12,MIN(Darl1_Betrag/((Darl1_Laufzeit-Darl1_Frei)*12),(AI36+AJ33)),0),IF(AJ37=Darl1_Laufzeit*12-1,(AI36+AJ33),0))</f>
        <v>0</v>
      </c>
      <c r="AK35" s="25" t="n">
        <f aca="false">IF(Darl1_Laufzeit&gt;Darl1_Frei,IF(AK37&gt;=Darl1_Frei*12,MIN(Darl1_Betrag/((Darl1_Laufzeit-Darl1_Frei)*12),(AJ36+AK33)),0),IF(AK37=Darl1_Laufzeit*12-1,(AJ36+AK33),0))</f>
        <v>0</v>
      </c>
      <c r="AL35" s="25" t="n">
        <f aca="false">IF(Darl1_Laufzeit&gt;Darl1_Frei,IF(AL37&gt;=Darl1_Frei*12,MIN(Darl1_Betrag/((Darl1_Laufzeit-Darl1_Frei)*12),(AK36+AL33)),0),IF(AL37=Darl1_Laufzeit*12-1,(AK36+AL33),0))</f>
        <v>0</v>
      </c>
      <c r="AM35" s="25" t="n">
        <f aca="false">IF(Darl1_Laufzeit&gt;Darl1_Frei,IF(AM37&gt;=Darl1_Frei*12,MIN(Darl1_Betrag/((Darl1_Laufzeit-Darl1_Frei)*12),(AL36+AM33)),0),IF(AM37=Darl1_Laufzeit*12-1,(AL36+AM33),0))</f>
        <v>0</v>
      </c>
      <c r="AN35" s="25" t="n">
        <f aca="false">IF(Darl1_Laufzeit&gt;Darl1_Frei,IF(AN37&gt;=Darl1_Frei*12,MIN(Darl1_Betrag/((Darl1_Laufzeit-Darl1_Frei)*12),(AM36+AN33)),0),IF(AN37=Darl1_Laufzeit*12-1,(AM36+AN33),0))</f>
        <v>0</v>
      </c>
      <c r="AO35" s="25" t="n">
        <f aca="false">IF(Darl1_Laufzeit&gt;Darl1_Frei,IF(AO37&gt;=Darl1_Frei*12,MIN(Darl1_Betrag/((Darl1_Laufzeit-Darl1_Frei)*12),(AN36+AO33)),0),IF(AO37=Darl1_Laufzeit*12-1,(AN36+AO33),0))</f>
        <v>0</v>
      </c>
      <c r="AP35" s="25" t="n">
        <f aca="false">IF(Darl1_Laufzeit&gt;Darl1_Frei,IF(AP37&gt;=Darl1_Frei*12,MIN(Darl1_Betrag/((Darl1_Laufzeit-Darl1_Frei)*12),(AO36+AP33)),0),IF(AP37=Darl1_Laufzeit*12-1,(AO36+AP33),0))</f>
        <v>0</v>
      </c>
      <c r="AQ35" s="25" t="n">
        <f aca="false">IF(Darl1_Laufzeit&gt;Darl1_Frei,IF(AQ37&gt;=Darl1_Frei*12,MIN(Darl1_Betrag/((Darl1_Laufzeit-Darl1_Frei)*12),(AP36+AQ33)),0),IF(AQ37=Darl1_Laufzeit*12-1,(AP36+AQ33),0))</f>
        <v>0</v>
      </c>
      <c r="AR35" s="25" t="n">
        <f aca="false">IF(Darl1_Laufzeit&gt;Darl1_Frei,IF(AR37&gt;=Darl1_Frei*12,MIN(Darl1_Betrag/((Darl1_Laufzeit-Darl1_Frei)*12),(AQ36+AR33)),0),IF(AR37=Darl1_Laufzeit*12-1,(AQ36+AR33),0))</f>
        <v>0</v>
      </c>
      <c r="AS35" s="25" t="n">
        <f aca="false">IF(Darl1_Laufzeit&gt;Darl1_Frei,IF(AS37&gt;=Darl1_Frei*12,MIN(Darl1_Betrag/((Darl1_Laufzeit-Darl1_Frei)*12),(AR36+AS33)),0),IF(AS37=Darl1_Laufzeit*12-1,(AR36+AS33),0))</f>
        <v>0</v>
      </c>
      <c r="AT35" s="25" t="n">
        <f aca="false">IF(Darl1_Laufzeit&gt;Darl1_Frei,IF(AT37&gt;=Darl1_Frei*12,MIN(Darl1_Betrag/((Darl1_Laufzeit-Darl1_Frei)*12),(AS36+AT33)),0),IF(AT37=Darl1_Laufzeit*12-1,(AS36+AT33),0))</f>
        <v>0</v>
      </c>
      <c r="AU35" s="25" t="n">
        <f aca="false">IF(Darl1_Laufzeit&gt;Darl1_Frei,IF(AU37&gt;=Darl1_Frei*12,MIN(Darl1_Betrag/((Darl1_Laufzeit-Darl1_Frei)*12),(AT36+AU33)),0),IF(AU37=Darl1_Laufzeit*12-1,(AT36+AU33),0))</f>
        <v>0</v>
      </c>
      <c r="AV35" s="25" t="n">
        <f aca="false">IF(Darl1_Laufzeit&gt;Darl1_Frei,IF(AV37&gt;=Darl1_Frei*12,MIN(Darl1_Betrag/((Darl1_Laufzeit-Darl1_Frei)*12),(AU36+AV33)),0),IF(AV37=Darl1_Laufzeit*12-1,(AU36+AV33),0))</f>
        <v>0</v>
      </c>
      <c r="AW35" s="25" t="n">
        <f aca="false">IF(Darl1_Laufzeit&gt;Darl1_Frei,IF(AW37&gt;=Darl1_Frei*12,MIN(Darl1_Betrag/((Darl1_Laufzeit-Darl1_Frei)*12),(AV36+AW33)),0),IF(AW37=Darl1_Laufzeit*12-1,(AV36+AW33),0))</f>
        <v>0</v>
      </c>
      <c r="AX35" s="25" t="n">
        <f aca="false">IF(Darl1_Laufzeit&gt;Darl1_Frei,IF(AX37&gt;=Darl1_Frei*12,MIN(Darl1_Betrag/((Darl1_Laufzeit-Darl1_Frei)*12),(AW36+AX33)),0),IF(AX37=Darl1_Laufzeit*12-1,(AW36+AX33),0))</f>
        <v>0</v>
      </c>
      <c r="AY35" s="25" t="n">
        <f aca="false">IF(Darl1_Laufzeit&gt;Darl1_Frei,IF(AY37&gt;=Darl1_Frei*12,MIN(Darl1_Betrag/((Darl1_Laufzeit-Darl1_Frei)*12),(AX36+AY33)),0),IF(AY37=Darl1_Laufzeit*12-1,(AX36+AY33),0))</f>
        <v>0</v>
      </c>
      <c r="AZ35" s="25" t="n">
        <f aca="false">IF(Darl1_Laufzeit&gt;Darl1_Frei,IF(AZ37&gt;=Darl1_Frei*12,MIN(Darl1_Betrag/((Darl1_Laufzeit-Darl1_Frei)*12),(AY36+AZ33)),0),IF(AZ37=Darl1_Laufzeit*12-1,(AY36+AZ33),0))</f>
        <v>0</v>
      </c>
      <c r="BA35" s="25" t="n">
        <f aca="false">IF(Darl1_Laufzeit&gt;Darl1_Frei,IF(BA37&gt;=Darl1_Frei*12,MIN(Darl1_Betrag/((Darl1_Laufzeit-Darl1_Frei)*12),(AZ36+BA33)),0),IF(BA37=Darl1_Laufzeit*12-1,(AZ36+BA33),0))</f>
        <v>0</v>
      </c>
      <c r="BB35" s="25" t="n">
        <f aca="false">IF(Darl1_Laufzeit&gt;Darl1_Frei,IF(BB37&gt;=Darl1_Frei*12,MIN(Darl1_Betrag/((Darl1_Laufzeit-Darl1_Frei)*12),(BA36+BB33)),0),IF(BB37=Darl1_Laufzeit*12-1,(BA36+BB33),0))</f>
        <v>0</v>
      </c>
      <c r="BC35" s="25" t="n">
        <f aca="false">IF(Darl1_Laufzeit&gt;Darl1_Frei,IF(BC37&gt;=Darl1_Frei*12,MIN(Darl1_Betrag/((Darl1_Laufzeit-Darl1_Frei)*12),(BB36+BC33)),0),IF(BC37=Darl1_Laufzeit*12-1,(BB36+BC33),0))</f>
        <v>0</v>
      </c>
      <c r="BD35" s="25" t="n">
        <f aca="false">IF(Darl1_Laufzeit&gt;Darl1_Frei,IF(BD37&gt;=Darl1_Frei*12,MIN(Darl1_Betrag/((Darl1_Laufzeit-Darl1_Frei)*12),(BC36+BD33)),0),IF(BD37=Darl1_Laufzeit*12-1,(BC36+BD33),0))</f>
        <v>0</v>
      </c>
      <c r="BE35" s="25" t="n">
        <f aca="false">IF(Darl1_Laufzeit&gt;Darl1_Frei,IF(BE37&gt;=Darl1_Frei*12,MIN(Darl1_Betrag/((Darl1_Laufzeit-Darl1_Frei)*12),(BD36+BE33)),0),IF(BE37=Darl1_Laufzeit*12-1,(BD36+BE33),0))</f>
        <v>0</v>
      </c>
      <c r="BF35" s="25" t="n">
        <f aca="false">IF(Darl1_Laufzeit&gt;Darl1_Frei,IF(BF37&gt;=Darl1_Frei*12,MIN(Darl1_Betrag/((Darl1_Laufzeit-Darl1_Frei)*12),(BE36+BF33)),0),IF(BF37=Darl1_Laufzeit*12-1,(BE36+BF33),0))</f>
        <v>0</v>
      </c>
      <c r="BG35" s="25" t="n">
        <f aca="false">IF(Darl1_Laufzeit&gt;Darl1_Frei,IF(BG37&gt;=Darl1_Frei*12,MIN(Darl1_Betrag/((Darl1_Laufzeit-Darl1_Frei)*12),(BF36+BG33)),0),IF(BG37=Darl1_Laufzeit*12-1,(BF36+BG33),0))</f>
        <v>0</v>
      </c>
      <c r="BH35" s="25" t="n">
        <f aca="false">IF(Darl1_Laufzeit&gt;Darl1_Frei,IF(BH37&gt;=Darl1_Frei*12,MIN(Darl1_Betrag/((Darl1_Laufzeit-Darl1_Frei)*12),(BG36+BH33)),0),IF(BH37=Darl1_Laufzeit*12-1,(BG36+BH33),0))</f>
        <v>0</v>
      </c>
      <c r="BI35" s="25" t="n">
        <f aca="false">IF(Darl1_Laufzeit&gt;Darl1_Frei,IF(BI37&gt;=Darl1_Frei*12,MIN(Darl1_Betrag/((Darl1_Laufzeit-Darl1_Frei)*12),(BH36+BI33)),0),IF(BI37=Darl1_Laufzeit*12-1,(BH36+BI33),0))</f>
        <v>0</v>
      </c>
      <c r="BJ35" s="25" t="n">
        <f aca="false">IF(Darl1_Laufzeit&gt;Darl1_Frei,IF(BJ37&gt;=Darl1_Frei*12,MIN(Darl1_Betrag/((Darl1_Laufzeit-Darl1_Frei)*12),(BI36+BJ33)),0),IF(BJ37=Darl1_Laufzeit*12-1,(BI36+BJ33),0))</f>
        <v>0</v>
      </c>
      <c r="BK35" s="25" t="n">
        <f aca="false">IF(Darl1_Laufzeit&gt;Darl1_Frei,IF(BK37&gt;=Darl1_Frei*12,MIN(Darl1_Betrag/((Darl1_Laufzeit-Darl1_Frei)*12),(BJ36+BK33)),0),IF(BK37=Darl1_Laufzeit*12-1,(BJ36+BK33),0))</f>
        <v>0</v>
      </c>
      <c r="BL35" s="25" t="n">
        <f aca="false">IF(Darl1_Laufzeit&gt;Darl1_Frei,IF(BL37&gt;=Darl1_Frei*12,MIN(Darl1_Betrag/((Darl1_Laufzeit-Darl1_Frei)*12),(BK36+BL33)),0),IF(BL37=Darl1_Laufzeit*12-1,(BK36+BL33),0))</f>
        <v>0</v>
      </c>
      <c r="BM35" s="25" t="n">
        <f aca="false">IF(Darl1_Laufzeit&gt;Darl1_Frei,IF(BM37&gt;=Darl1_Frei*12,MIN(Darl1_Betrag/((Darl1_Laufzeit-Darl1_Frei)*12),(BL36+BM33)),0),IF(BM37=Darl1_Laufzeit*12-1,(BL36+BM33),0))</f>
        <v>0</v>
      </c>
      <c r="BN35" s="25" t="n">
        <f aca="false">IF(Darl1_Laufzeit&gt;Darl1_Frei,IF(BN37&gt;=Darl1_Frei*12,MIN(Darl1_Betrag/((Darl1_Laufzeit-Darl1_Frei)*12),(BM36+BN33)),0),IF(BN37=Darl1_Laufzeit*12-1,(BM36+BN33),0))</f>
        <v>0</v>
      </c>
      <c r="BO35" s="25" t="n">
        <f aca="false">IF(Darl1_Laufzeit&gt;Darl1_Frei,IF(BO37&gt;=Darl1_Frei*12,MIN(Darl1_Betrag/((Darl1_Laufzeit-Darl1_Frei)*12),(BN36+BO33)),0),IF(BO37=Darl1_Laufzeit*12-1,(BN36+BO33),0))</f>
        <v>0</v>
      </c>
    </row>
    <row r="36" customFormat="false" ht="15" hidden="false" customHeight="false" outlineLevel="0" collapsed="false">
      <c r="B36" s="2" t="s">
        <v>416</v>
      </c>
      <c r="C36" s="25" t="n">
        <f aca="false">(C33)-C35</f>
        <v>250000</v>
      </c>
      <c r="D36" s="25" t="n">
        <f aca="false">(C36+D33)-D35</f>
        <v>250000</v>
      </c>
      <c r="E36" s="25" t="n">
        <f aca="false">(D36+E33)-E35</f>
        <v>250000</v>
      </c>
      <c r="F36" s="25" t="n">
        <f aca="false">(E36+F33)-F35</f>
        <v>250000</v>
      </c>
      <c r="G36" s="25" t="n">
        <f aca="false">(F36+G33)-G35</f>
        <v>250000</v>
      </c>
      <c r="H36" s="25" t="n">
        <f aca="false">(G36+H33)-H35</f>
        <v>250000</v>
      </c>
      <c r="I36" s="25" t="n">
        <f aca="false">(H36+I33)-I35</f>
        <v>250000</v>
      </c>
      <c r="J36" s="25" t="n">
        <f aca="false">(I36+J33)-J35</f>
        <v>250000</v>
      </c>
      <c r="K36" s="25" t="n">
        <f aca="false">(J36+K33)-K35</f>
        <v>250000</v>
      </c>
      <c r="L36" s="25" t="n">
        <f aca="false">(K36+L33)-L35</f>
        <v>250000</v>
      </c>
      <c r="M36" s="25" t="n">
        <f aca="false">(L36+M33)-M35</f>
        <v>250000</v>
      </c>
      <c r="N36" s="25" t="n">
        <f aca="false">(M36+N33)-N35</f>
        <v>250000</v>
      </c>
      <c r="O36" s="25" t="n">
        <f aca="false">(N36+O33)-O35</f>
        <v>250000</v>
      </c>
      <c r="P36" s="25" t="n">
        <f aca="false">(O36+P33)-P35</f>
        <v>250000</v>
      </c>
      <c r="Q36" s="25" t="n">
        <f aca="false">(P36+Q33)-Q35</f>
        <v>250000</v>
      </c>
      <c r="R36" s="25" t="n">
        <f aca="false">(Q36+R33)-R35</f>
        <v>250000</v>
      </c>
      <c r="S36" s="25" t="n">
        <f aca="false">(R36+S33)-S35</f>
        <v>250000</v>
      </c>
      <c r="T36" s="25" t="n">
        <f aca="false">(S36+T33)-T35</f>
        <v>250000</v>
      </c>
      <c r="U36" s="25" t="n">
        <f aca="false">(T36+U33)-U35</f>
        <v>250000</v>
      </c>
      <c r="V36" s="25" t="n">
        <f aca="false">(U36+V33)-V35</f>
        <v>250000</v>
      </c>
      <c r="W36" s="25" t="n">
        <f aca="false">(V36+W33)-W35</f>
        <v>250000</v>
      </c>
      <c r="X36" s="25" t="n">
        <f aca="false">(W36+X33)-X35</f>
        <v>250000</v>
      </c>
      <c r="Y36" s="25" t="n">
        <f aca="false">(X36+Y33)-Y35</f>
        <v>250000</v>
      </c>
      <c r="Z36" s="25" t="n">
        <f aca="false">(Y36+Z33)-Z35</f>
        <v>250000</v>
      </c>
      <c r="AA36" s="25" t="n">
        <f aca="false">(Z36+AA33)-AA35</f>
        <v>250000</v>
      </c>
      <c r="AB36" s="25" t="n">
        <f aca="false">(AA36+AB33)-AB35</f>
        <v>250000</v>
      </c>
      <c r="AC36" s="25" t="n">
        <f aca="false">(AB36+AC33)-AC35</f>
        <v>250000</v>
      </c>
      <c r="AD36" s="25" t="n">
        <f aca="false">(AC36+AD33)-AD35</f>
        <v>250000</v>
      </c>
      <c r="AE36" s="25" t="n">
        <f aca="false">(AD36+AE33)-AE35</f>
        <v>250000</v>
      </c>
      <c r="AF36" s="25" t="n">
        <f aca="false">(AE36+AF33)-AF35</f>
        <v>250000</v>
      </c>
      <c r="AG36" s="25" t="n">
        <f aca="false">(AF36+AG33)-AG35</f>
        <v>250000</v>
      </c>
      <c r="AH36" s="25" t="n">
        <f aca="false">(AG36+AH33)-AH35</f>
        <v>250000</v>
      </c>
      <c r="AI36" s="25" t="n">
        <f aca="false">(AH36+AI33)-AI35</f>
        <v>250000</v>
      </c>
      <c r="AJ36" s="25" t="n">
        <f aca="false">(AI36+AJ33)-AJ35</f>
        <v>250000</v>
      </c>
      <c r="AK36" s="25" t="n">
        <f aca="false">(AJ36+AK33)-AK35</f>
        <v>250000</v>
      </c>
      <c r="AL36" s="25" t="n">
        <f aca="false">(AK36+AL33)-AL35</f>
        <v>250000</v>
      </c>
      <c r="AM36" s="25" t="n">
        <f aca="false">(AL36+AM33)-AM35</f>
        <v>250000</v>
      </c>
      <c r="AN36" s="25" t="n">
        <f aca="false">(AM36+AN33)-AN35</f>
        <v>250000</v>
      </c>
      <c r="AO36" s="25" t="n">
        <f aca="false">(AN36+AO33)-AO35</f>
        <v>250000</v>
      </c>
      <c r="AP36" s="25" t="n">
        <f aca="false">(AO36+AP33)-AP35</f>
        <v>250000</v>
      </c>
      <c r="AQ36" s="25" t="n">
        <f aca="false">(AP36+AQ33)-AQ35</f>
        <v>250000</v>
      </c>
      <c r="AR36" s="25" t="n">
        <f aca="false">(AQ36+AR33)-AR35</f>
        <v>250000</v>
      </c>
      <c r="AS36" s="25" t="n">
        <f aca="false">(AR36+AS33)-AS35</f>
        <v>250000</v>
      </c>
      <c r="AT36" s="25" t="n">
        <f aca="false">(AS36+AT33)-AT35</f>
        <v>250000</v>
      </c>
      <c r="AU36" s="25" t="n">
        <f aca="false">(AT36+AU33)-AU35</f>
        <v>250000</v>
      </c>
      <c r="AV36" s="25" t="n">
        <f aca="false">(AU36+AV33)-AV35</f>
        <v>250000</v>
      </c>
      <c r="AW36" s="25" t="n">
        <f aca="false">(AV36+AW33)-AW35</f>
        <v>250000</v>
      </c>
      <c r="AX36" s="25" t="n">
        <f aca="false">(AW36+AX33)-AX35</f>
        <v>250000</v>
      </c>
      <c r="AY36" s="25" t="n">
        <f aca="false">(AX36+AY33)-AY35</f>
        <v>250000</v>
      </c>
      <c r="AZ36" s="25" t="n">
        <f aca="false">(AY36+AZ33)-AZ35</f>
        <v>250000</v>
      </c>
      <c r="BA36" s="25" t="n">
        <f aca="false">(AZ36+BA33)-BA35</f>
        <v>250000</v>
      </c>
      <c r="BB36" s="25" t="n">
        <f aca="false">(BA36+BB33)-BB35</f>
        <v>250000</v>
      </c>
      <c r="BC36" s="25" t="n">
        <f aca="false">(BB36+BC33)-BC35</f>
        <v>250000</v>
      </c>
      <c r="BD36" s="25" t="n">
        <f aca="false">(BC36+BD33)-BD35</f>
        <v>250000</v>
      </c>
      <c r="BE36" s="25" t="n">
        <f aca="false">(BD36+BE33)-BE35</f>
        <v>250000</v>
      </c>
      <c r="BF36" s="25" t="n">
        <f aca="false">(BE36+BF33)-BF35</f>
        <v>250000</v>
      </c>
      <c r="BG36" s="25" t="n">
        <f aca="false">(BF36+BG33)-BG35</f>
        <v>250000</v>
      </c>
      <c r="BH36" s="25" t="n">
        <f aca="false">(BG36+BH33)-BH35</f>
        <v>250000</v>
      </c>
      <c r="BI36" s="25" t="n">
        <f aca="false">(BH36+BI33)-BI35</f>
        <v>250000</v>
      </c>
      <c r="BJ36" s="25" t="n">
        <f aca="false">(BI36+BJ33)-BJ35</f>
        <v>250000</v>
      </c>
      <c r="BK36" s="25" t="n">
        <f aca="false">(BJ36+BK33)-BK35</f>
        <v>250000</v>
      </c>
      <c r="BL36" s="25" t="n">
        <f aca="false">(BK36+BL33)-BL35</f>
        <v>250000</v>
      </c>
      <c r="BM36" s="25" t="n">
        <f aca="false">(BL36+BM33)-BM35</f>
        <v>250000</v>
      </c>
      <c r="BN36" s="25" t="n">
        <f aca="false">(BM36+BN33)-BN35</f>
        <v>250000</v>
      </c>
      <c r="BO36" s="25" t="n">
        <f aca="false">(BN36+BO33)-BO35</f>
        <v>250000</v>
      </c>
    </row>
    <row r="37" customFormat="false" ht="15" hidden="false" customHeight="false" outlineLevel="0" collapsed="false">
      <c r="B37" s="2" t="s">
        <v>417</v>
      </c>
      <c r="C37" s="36" t="n">
        <f aca="false">C$30-MATCH(Darl1_Auszahlung,Fz_Monat,0)</f>
        <v>0</v>
      </c>
      <c r="D37" s="36" t="n">
        <f aca="false">D$30-MATCH(Darl1_Auszahlung,Fz_Monat,0)</f>
        <v>1</v>
      </c>
      <c r="E37" s="36" t="n">
        <f aca="false">E$30-MATCH(Darl1_Auszahlung,Fz_Monat,0)</f>
        <v>2</v>
      </c>
      <c r="F37" s="36" t="n">
        <f aca="false">F$30-MATCH(Darl1_Auszahlung,Fz_Monat,0)</f>
        <v>3</v>
      </c>
      <c r="G37" s="36" t="n">
        <f aca="false">G$30-MATCH(Darl1_Auszahlung,Fz_Monat,0)</f>
        <v>4</v>
      </c>
      <c r="H37" s="36" t="n">
        <f aca="false">H$30-MATCH(Darl1_Auszahlung,Fz_Monat,0)</f>
        <v>5</v>
      </c>
      <c r="I37" s="36" t="n">
        <f aca="false">I$30-MATCH(Darl1_Auszahlung,Fz_Monat,0)</f>
        <v>6</v>
      </c>
      <c r="J37" s="36" t="n">
        <f aca="false">J$30-MATCH(Darl1_Auszahlung,Fz_Monat,0)</f>
        <v>7</v>
      </c>
      <c r="K37" s="36" t="n">
        <f aca="false">K$30-MATCH(Darl1_Auszahlung,Fz_Monat,0)</f>
        <v>8</v>
      </c>
      <c r="L37" s="36" t="n">
        <f aca="false">L$30-MATCH(Darl1_Auszahlung,Fz_Monat,0)</f>
        <v>9</v>
      </c>
      <c r="M37" s="36" t="n">
        <f aca="false">M$30-MATCH(Darl1_Auszahlung,Fz_Monat,0)</f>
        <v>10</v>
      </c>
      <c r="N37" s="36" t="n">
        <f aca="false">N$30-MATCH(Darl1_Auszahlung,Fz_Monat,0)</f>
        <v>11</v>
      </c>
      <c r="O37" s="36" t="n">
        <f aca="false">O$30-MATCH(Darl1_Auszahlung,Fz_Monat,0)</f>
        <v>12</v>
      </c>
      <c r="P37" s="36" t="n">
        <f aca="false">P$30-MATCH(Darl1_Auszahlung,Fz_Monat,0)</f>
        <v>13</v>
      </c>
      <c r="Q37" s="36" t="n">
        <f aca="false">Q$30-MATCH(Darl1_Auszahlung,Fz_Monat,0)</f>
        <v>14</v>
      </c>
      <c r="R37" s="36" t="n">
        <f aca="false">R$30-MATCH(Darl1_Auszahlung,Fz_Monat,0)</f>
        <v>15</v>
      </c>
      <c r="S37" s="36" t="n">
        <f aca="false">S$30-MATCH(Darl1_Auszahlung,Fz_Monat,0)</f>
        <v>16</v>
      </c>
      <c r="T37" s="36" t="n">
        <f aca="false">T$30-MATCH(Darl1_Auszahlung,Fz_Monat,0)</f>
        <v>17</v>
      </c>
      <c r="U37" s="36" t="n">
        <f aca="false">U$30-MATCH(Darl1_Auszahlung,Fz_Monat,0)</f>
        <v>18</v>
      </c>
      <c r="V37" s="36" t="n">
        <f aca="false">V$30-MATCH(Darl1_Auszahlung,Fz_Monat,0)</f>
        <v>19</v>
      </c>
      <c r="W37" s="36" t="n">
        <f aca="false">W$30-MATCH(Darl1_Auszahlung,Fz_Monat,0)</f>
        <v>20</v>
      </c>
      <c r="X37" s="36" t="n">
        <f aca="false">X$30-MATCH(Darl1_Auszahlung,Fz_Monat,0)</f>
        <v>21</v>
      </c>
      <c r="Y37" s="36" t="n">
        <f aca="false">Y$30-MATCH(Darl1_Auszahlung,Fz_Monat,0)</f>
        <v>22</v>
      </c>
      <c r="Z37" s="36" t="n">
        <f aca="false">Z$30-MATCH(Darl1_Auszahlung,Fz_Monat,0)</f>
        <v>23</v>
      </c>
      <c r="AA37" s="36" t="n">
        <f aca="false">AA$30-MATCH(Darl1_Auszahlung,Fz_Monat,0)</f>
        <v>24</v>
      </c>
      <c r="AB37" s="36" t="n">
        <f aca="false">AB$30-MATCH(Darl1_Auszahlung,Fz_Monat,0)</f>
        <v>25</v>
      </c>
      <c r="AC37" s="36" t="n">
        <f aca="false">AC$30-MATCH(Darl1_Auszahlung,Fz_Monat,0)</f>
        <v>26</v>
      </c>
      <c r="AD37" s="36" t="n">
        <f aca="false">AD$30-MATCH(Darl1_Auszahlung,Fz_Monat,0)</f>
        <v>27</v>
      </c>
      <c r="AE37" s="36" t="n">
        <f aca="false">AE$30-MATCH(Darl1_Auszahlung,Fz_Monat,0)</f>
        <v>28</v>
      </c>
      <c r="AF37" s="36" t="n">
        <f aca="false">AF$30-MATCH(Darl1_Auszahlung,Fz_Monat,0)</f>
        <v>29</v>
      </c>
      <c r="AG37" s="36" t="n">
        <f aca="false">AG$30-MATCH(Darl1_Auszahlung,Fz_Monat,0)</f>
        <v>30</v>
      </c>
      <c r="AH37" s="36" t="n">
        <f aca="false">AH$30-MATCH(Darl1_Auszahlung,Fz_Monat,0)</f>
        <v>31</v>
      </c>
      <c r="AI37" s="36" t="n">
        <f aca="false">AI$30-MATCH(Darl1_Auszahlung,Fz_Monat,0)</f>
        <v>32</v>
      </c>
      <c r="AJ37" s="36" t="n">
        <f aca="false">AJ$30-MATCH(Darl1_Auszahlung,Fz_Monat,0)</f>
        <v>33</v>
      </c>
      <c r="AK37" s="36" t="n">
        <f aca="false">AK$30-MATCH(Darl1_Auszahlung,Fz_Monat,0)</f>
        <v>34</v>
      </c>
      <c r="AL37" s="36" t="n">
        <f aca="false">AL$30-MATCH(Darl1_Auszahlung,Fz_Monat,0)</f>
        <v>35</v>
      </c>
      <c r="AM37" s="36" t="n">
        <f aca="false">AM$30-MATCH(Darl1_Auszahlung,Fz_Monat,0)</f>
        <v>36</v>
      </c>
      <c r="AN37" s="36" t="n">
        <f aca="false">AN$30-MATCH(Darl1_Auszahlung,Fz_Monat,0)</f>
        <v>37</v>
      </c>
      <c r="AO37" s="36" t="n">
        <f aca="false">AO$30-MATCH(Darl1_Auszahlung,Fz_Monat,0)</f>
        <v>38</v>
      </c>
      <c r="AP37" s="36" t="n">
        <f aca="false">AP$30-MATCH(Darl1_Auszahlung,Fz_Monat,0)</f>
        <v>39</v>
      </c>
      <c r="AQ37" s="36" t="n">
        <f aca="false">AQ$30-MATCH(Darl1_Auszahlung,Fz_Monat,0)</f>
        <v>40</v>
      </c>
      <c r="AR37" s="36" t="n">
        <f aca="false">AR$30-MATCH(Darl1_Auszahlung,Fz_Monat,0)</f>
        <v>41</v>
      </c>
      <c r="AS37" s="36" t="n">
        <f aca="false">AS$30-MATCH(Darl1_Auszahlung,Fz_Monat,0)</f>
        <v>42</v>
      </c>
      <c r="AT37" s="36" t="n">
        <f aca="false">AT$30-MATCH(Darl1_Auszahlung,Fz_Monat,0)</f>
        <v>43</v>
      </c>
      <c r="AU37" s="36" t="n">
        <f aca="false">AU$30-MATCH(Darl1_Auszahlung,Fz_Monat,0)</f>
        <v>44</v>
      </c>
      <c r="AV37" s="36" t="n">
        <f aca="false">AV$30-MATCH(Darl1_Auszahlung,Fz_Monat,0)</f>
        <v>45</v>
      </c>
      <c r="AW37" s="36" t="n">
        <f aca="false">AW$30-MATCH(Darl1_Auszahlung,Fz_Monat,0)</f>
        <v>46</v>
      </c>
      <c r="AX37" s="36" t="n">
        <f aca="false">AX$30-MATCH(Darl1_Auszahlung,Fz_Monat,0)</f>
        <v>47</v>
      </c>
      <c r="AY37" s="36" t="n">
        <f aca="false">AY$30-MATCH(Darl1_Auszahlung,Fz_Monat,0)</f>
        <v>48</v>
      </c>
      <c r="AZ37" s="36" t="n">
        <f aca="false">AZ$30-MATCH(Darl1_Auszahlung,Fz_Monat,0)</f>
        <v>49</v>
      </c>
      <c r="BA37" s="36" t="n">
        <f aca="false">BA$30-MATCH(Darl1_Auszahlung,Fz_Monat,0)</f>
        <v>50</v>
      </c>
      <c r="BB37" s="36" t="n">
        <f aca="false">BB$30-MATCH(Darl1_Auszahlung,Fz_Monat,0)</f>
        <v>51</v>
      </c>
      <c r="BC37" s="36" t="n">
        <f aca="false">BC$30-MATCH(Darl1_Auszahlung,Fz_Monat,0)</f>
        <v>52</v>
      </c>
      <c r="BD37" s="36" t="n">
        <f aca="false">BD$30-MATCH(Darl1_Auszahlung,Fz_Monat,0)</f>
        <v>53</v>
      </c>
      <c r="BE37" s="36" t="n">
        <f aca="false">BE$30-MATCH(Darl1_Auszahlung,Fz_Monat,0)</f>
        <v>54</v>
      </c>
      <c r="BF37" s="36" t="n">
        <f aca="false">BF$30-MATCH(Darl1_Auszahlung,Fz_Monat,0)</f>
        <v>55</v>
      </c>
      <c r="BG37" s="36" t="n">
        <f aca="false">BG$30-MATCH(Darl1_Auszahlung,Fz_Monat,0)</f>
        <v>56</v>
      </c>
      <c r="BH37" s="36" t="n">
        <f aca="false">BH$30-MATCH(Darl1_Auszahlung,Fz_Monat,0)</f>
        <v>57</v>
      </c>
      <c r="BI37" s="36" t="n">
        <f aca="false">BI$30-MATCH(Darl1_Auszahlung,Fz_Monat,0)</f>
        <v>58</v>
      </c>
      <c r="BJ37" s="36" t="n">
        <f aca="false">BJ$30-MATCH(Darl1_Auszahlung,Fz_Monat,0)</f>
        <v>59</v>
      </c>
      <c r="BK37" s="36" t="n">
        <f aca="false">BK$30-MATCH(Darl1_Auszahlung,Fz_Monat,0)</f>
        <v>60</v>
      </c>
      <c r="BL37" s="36" t="n">
        <f aca="false">BL$30-MATCH(Darl1_Auszahlung,Fz_Monat,0)</f>
        <v>61</v>
      </c>
      <c r="BM37" s="36" t="n">
        <f aca="false">BM$30-MATCH(Darl1_Auszahlung,Fz_Monat,0)</f>
        <v>62</v>
      </c>
      <c r="BN37" s="36" t="n">
        <f aca="false">BN$30-MATCH(Darl1_Auszahlung,Fz_Monat,0)</f>
        <v>63</v>
      </c>
      <c r="BO37" s="36" t="n">
        <f aca="false">BO$30-MATCH(Darl1_Auszahlung,Fz_Monat,0)</f>
        <v>64</v>
      </c>
    </row>
    <row r="39" customFormat="false" ht="15" hidden="false" customHeight="false" outlineLevel="0" collapsed="false">
      <c r="B39" s="6" t="str">
        <f aca="false">Darl2_Name</f>
        <v>KfW ERP-Förderkredit Gründung und Nachfolge (077), 100 % Garantie Bürgschaftsbank</v>
      </c>
    </row>
    <row r="40" customFormat="false" ht="15" hidden="false" customHeight="false" outlineLevel="0" collapsed="false">
      <c r="B40" s="2" t="s">
        <v>413</v>
      </c>
      <c r="C40" s="25" t="n">
        <f aca="false">IF(C$28=Darl2_Auszahlung,Darl2_Betrag,0)</f>
        <v>0</v>
      </c>
      <c r="D40" s="25" t="n">
        <f aca="false">IF(D$28=Darl2_Auszahlung,Darl2_Betrag,0)</f>
        <v>500000</v>
      </c>
      <c r="E40" s="25" t="n">
        <f aca="false">IF(E$28=Darl2_Auszahlung,Darl2_Betrag,0)</f>
        <v>0</v>
      </c>
      <c r="F40" s="25" t="n">
        <f aca="false">IF(F$28=Darl2_Auszahlung,Darl2_Betrag,0)</f>
        <v>0</v>
      </c>
      <c r="G40" s="25" t="n">
        <f aca="false">IF(G$28=Darl2_Auszahlung,Darl2_Betrag,0)</f>
        <v>0</v>
      </c>
      <c r="H40" s="25" t="n">
        <f aca="false">IF(H$28=Darl2_Auszahlung,Darl2_Betrag,0)</f>
        <v>0</v>
      </c>
      <c r="I40" s="25" t="n">
        <f aca="false">IF(I$28=Darl2_Auszahlung,Darl2_Betrag,0)</f>
        <v>0</v>
      </c>
      <c r="J40" s="25" t="n">
        <f aca="false">IF(J$28=Darl2_Auszahlung,Darl2_Betrag,0)</f>
        <v>0</v>
      </c>
      <c r="K40" s="25" t="n">
        <f aca="false">IF(K$28=Darl2_Auszahlung,Darl2_Betrag,0)</f>
        <v>0</v>
      </c>
      <c r="L40" s="25" t="n">
        <f aca="false">IF(L$28=Darl2_Auszahlung,Darl2_Betrag,0)</f>
        <v>0</v>
      </c>
      <c r="M40" s="25" t="n">
        <f aca="false">IF(M$28=Darl2_Auszahlung,Darl2_Betrag,0)</f>
        <v>0</v>
      </c>
      <c r="N40" s="25" t="n">
        <f aca="false">IF(N$28=Darl2_Auszahlung,Darl2_Betrag,0)</f>
        <v>0</v>
      </c>
      <c r="O40" s="25" t="n">
        <f aca="false">IF(O$28=Darl2_Auszahlung,Darl2_Betrag,0)</f>
        <v>0</v>
      </c>
      <c r="P40" s="25" t="n">
        <f aca="false">IF(P$28=Darl2_Auszahlung,Darl2_Betrag,0)</f>
        <v>0</v>
      </c>
      <c r="Q40" s="25" t="n">
        <f aca="false">IF(Q$28=Darl2_Auszahlung,Darl2_Betrag,0)</f>
        <v>0</v>
      </c>
      <c r="R40" s="25" t="n">
        <f aca="false">IF(R$28=Darl2_Auszahlung,Darl2_Betrag,0)</f>
        <v>0</v>
      </c>
      <c r="S40" s="25" t="n">
        <f aca="false">IF(S$28=Darl2_Auszahlung,Darl2_Betrag,0)</f>
        <v>0</v>
      </c>
      <c r="T40" s="25" t="n">
        <f aca="false">IF(T$28=Darl2_Auszahlung,Darl2_Betrag,0)</f>
        <v>0</v>
      </c>
      <c r="U40" s="25" t="n">
        <f aca="false">IF(U$28=Darl2_Auszahlung,Darl2_Betrag,0)</f>
        <v>0</v>
      </c>
      <c r="V40" s="25" t="n">
        <f aca="false">IF(V$28=Darl2_Auszahlung,Darl2_Betrag,0)</f>
        <v>0</v>
      </c>
      <c r="W40" s="25" t="n">
        <f aca="false">IF(W$28=Darl2_Auszahlung,Darl2_Betrag,0)</f>
        <v>0</v>
      </c>
      <c r="X40" s="25" t="n">
        <f aca="false">IF(X$28=Darl2_Auszahlung,Darl2_Betrag,0)</f>
        <v>0</v>
      </c>
      <c r="Y40" s="25" t="n">
        <f aca="false">IF(Y$28=Darl2_Auszahlung,Darl2_Betrag,0)</f>
        <v>0</v>
      </c>
      <c r="Z40" s="25" t="n">
        <f aca="false">IF(Z$28=Darl2_Auszahlung,Darl2_Betrag,0)</f>
        <v>0</v>
      </c>
      <c r="AA40" s="25" t="n">
        <f aca="false">IF(AA$28=Darl2_Auszahlung,Darl2_Betrag,0)</f>
        <v>0</v>
      </c>
      <c r="AB40" s="25" t="n">
        <f aca="false">IF(AB$28=Darl2_Auszahlung,Darl2_Betrag,0)</f>
        <v>0</v>
      </c>
      <c r="AC40" s="25" t="n">
        <f aca="false">IF(AC$28=Darl2_Auszahlung,Darl2_Betrag,0)</f>
        <v>0</v>
      </c>
      <c r="AD40" s="25" t="n">
        <f aca="false">IF(AD$28=Darl2_Auszahlung,Darl2_Betrag,0)</f>
        <v>0</v>
      </c>
      <c r="AE40" s="25" t="n">
        <f aca="false">IF(AE$28=Darl2_Auszahlung,Darl2_Betrag,0)</f>
        <v>0</v>
      </c>
      <c r="AF40" s="25" t="n">
        <f aca="false">IF(AF$28=Darl2_Auszahlung,Darl2_Betrag,0)</f>
        <v>0</v>
      </c>
      <c r="AG40" s="25" t="n">
        <f aca="false">IF(AG$28=Darl2_Auszahlung,Darl2_Betrag,0)</f>
        <v>0</v>
      </c>
      <c r="AH40" s="25" t="n">
        <f aca="false">IF(AH$28=Darl2_Auszahlung,Darl2_Betrag,0)</f>
        <v>0</v>
      </c>
      <c r="AI40" s="25" t="n">
        <f aca="false">IF(AI$28=Darl2_Auszahlung,Darl2_Betrag,0)</f>
        <v>0</v>
      </c>
      <c r="AJ40" s="25" t="n">
        <f aca="false">IF(AJ$28=Darl2_Auszahlung,Darl2_Betrag,0)</f>
        <v>0</v>
      </c>
      <c r="AK40" s="25" t="n">
        <f aca="false">IF(AK$28=Darl2_Auszahlung,Darl2_Betrag,0)</f>
        <v>0</v>
      </c>
      <c r="AL40" s="25" t="n">
        <f aca="false">IF(AL$28=Darl2_Auszahlung,Darl2_Betrag,0)</f>
        <v>0</v>
      </c>
      <c r="AM40" s="25" t="n">
        <f aca="false">IF(AM$28=Darl2_Auszahlung,Darl2_Betrag,0)</f>
        <v>0</v>
      </c>
      <c r="AN40" s="25" t="n">
        <f aca="false">IF(AN$28=Darl2_Auszahlung,Darl2_Betrag,0)</f>
        <v>0</v>
      </c>
      <c r="AO40" s="25" t="n">
        <f aca="false">IF(AO$28=Darl2_Auszahlung,Darl2_Betrag,0)</f>
        <v>0</v>
      </c>
      <c r="AP40" s="25" t="n">
        <f aca="false">IF(AP$28=Darl2_Auszahlung,Darl2_Betrag,0)</f>
        <v>0</v>
      </c>
      <c r="AQ40" s="25" t="n">
        <f aca="false">IF(AQ$28=Darl2_Auszahlung,Darl2_Betrag,0)</f>
        <v>0</v>
      </c>
      <c r="AR40" s="25" t="n">
        <f aca="false">IF(AR$28=Darl2_Auszahlung,Darl2_Betrag,0)</f>
        <v>0</v>
      </c>
      <c r="AS40" s="25" t="n">
        <f aca="false">IF(AS$28=Darl2_Auszahlung,Darl2_Betrag,0)</f>
        <v>0</v>
      </c>
      <c r="AT40" s="25" t="n">
        <f aca="false">IF(AT$28=Darl2_Auszahlung,Darl2_Betrag,0)</f>
        <v>0</v>
      </c>
      <c r="AU40" s="25" t="n">
        <f aca="false">IF(AU$28=Darl2_Auszahlung,Darl2_Betrag,0)</f>
        <v>0</v>
      </c>
      <c r="AV40" s="25" t="n">
        <f aca="false">IF(AV$28=Darl2_Auszahlung,Darl2_Betrag,0)</f>
        <v>0</v>
      </c>
      <c r="AW40" s="25" t="n">
        <f aca="false">IF(AW$28=Darl2_Auszahlung,Darl2_Betrag,0)</f>
        <v>0</v>
      </c>
      <c r="AX40" s="25" t="n">
        <f aca="false">IF(AX$28=Darl2_Auszahlung,Darl2_Betrag,0)</f>
        <v>0</v>
      </c>
      <c r="AY40" s="25" t="n">
        <f aca="false">IF(AY$28=Darl2_Auszahlung,Darl2_Betrag,0)</f>
        <v>0</v>
      </c>
      <c r="AZ40" s="25" t="n">
        <f aca="false">IF(AZ$28=Darl2_Auszahlung,Darl2_Betrag,0)</f>
        <v>0</v>
      </c>
      <c r="BA40" s="25" t="n">
        <f aca="false">IF(BA$28=Darl2_Auszahlung,Darl2_Betrag,0)</f>
        <v>0</v>
      </c>
      <c r="BB40" s="25" t="n">
        <f aca="false">IF(BB$28=Darl2_Auszahlung,Darl2_Betrag,0)</f>
        <v>0</v>
      </c>
      <c r="BC40" s="25" t="n">
        <f aca="false">IF(BC$28=Darl2_Auszahlung,Darl2_Betrag,0)</f>
        <v>0</v>
      </c>
      <c r="BD40" s="25" t="n">
        <f aca="false">IF(BD$28=Darl2_Auszahlung,Darl2_Betrag,0)</f>
        <v>0</v>
      </c>
      <c r="BE40" s="25" t="n">
        <f aca="false">IF(BE$28=Darl2_Auszahlung,Darl2_Betrag,0)</f>
        <v>0</v>
      </c>
      <c r="BF40" s="25" t="n">
        <f aca="false">IF(BF$28=Darl2_Auszahlung,Darl2_Betrag,0)</f>
        <v>0</v>
      </c>
      <c r="BG40" s="25" t="n">
        <f aca="false">IF(BG$28=Darl2_Auszahlung,Darl2_Betrag,0)</f>
        <v>0</v>
      </c>
      <c r="BH40" s="25" t="n">
        <f aca="false">IF(BH$28=Darl2_Auszahlung,Darl2_Betrag,0)</f>
        <v>0</v>
      </c>
      <c r="BI40" s="25" t="n">
        <f aca="false">IF(BI$28=Darl2_Auszahlung,Darl2_Betrag,0)</f>
        <v>0</v>
      </c>
      <c r="BJ40" s="25" t="n">
        <f aca="false">IF(BJ$28=Darl2_Auszahlung,Darl2_Betrag,0)</f>
        <v>0</v>
      </c>
      <c r="BK40" s="25" t="n">
        <f aca="false">IF(BK$28=Darl2_Auszahlung,Darl2_Betrag,0)</f>
        <v>0</v>
      </c>
      <c r="BL40" s="25" t="n">
        <f aca="false">IF(BL$28=Darl2_Auszahlung,Darl2_Betrag,0)</f>
        <v>0</v>
      </c>
      <c r="BM40" s="25" t="n">
        <f aca="false">IF(BM$28=Darl2_Auszahlung,Darl2_Betrag,0)</f>
        <v>0</v>
      </c>
      <c r="BN40" s="25" t="n">
        <f aca="false">IF(BN$28=Darl2_Auszahlung,Darl2_Betrag,0)</f>
        <v>0</v>
      </c>
      <c r="BO40" s="25" t="n">
        <f aca="false">IF(BO$28=Darl2_Auszahlung,Darl2_Betrag,0)</f>
        <v>0</v>
      </c>
    </row>
    <row r="41" customFormat="false" ht="15" hidden="false" customHeight="false" outlineLevel="0" collapsed="false">
      <c r="B41" s="2" t="s">
        <v>414</v>
      </c>
      <c r="C41" s="25" t="n">
        <f aca="false">IF(C44&gt;=0,(C40)*Darl2_Zins/12,0)</f>
        <v>0</v>
      </c>
      <c r="D41" s="25" t="n">
        <f aca="false">IF(D44&gt;=0,(C43+D40)*Darl2_Zins/12,0)</f>
        <v>2708.33333333333</v>
      </c>
      <c r="E41" s="25" t="n">
        <f aca="false">IF(E44&gt;=0,(D43+E40)*Darl2_Zins/12,0)</f>
        <v>2708.33333333333</v>
      </c>
      <c r="F41" s="25" t="n">
        <f aca="false">IF(F44&gt;=0,(E43+F40)*Darl2_Zins/12,0)</f>
        <v>2708.33333333333</v>
      </c>
      <c r="G41" s="25" t="n">
        <f aca="false">IF(G44&gt;=0,(F43+G40)*Darl2_Zins/12,0)</f>
        <v>2708.33333333333</v>
      </c>
      <c r="H41" s="25" t="n">
        <f aca="false">IF(H44&gt;=0,(G43+H40)*Darl2_Zins/12,0)</f>
        <v>2708.33333333333</v>
      </c>
      <c r="I41" s="25" t="n">
        <f aca="false">IF(I44&gt;=0,(H43+I40)*Darl2_Zins/12,0)</f>
        <v>2708.33333333333</v>
      </c>
      <c r="J41" s="25" t="n">
        <f aca="false">IF(J44&gt;=0,(I43+J40)*Darl2_Zins/12,0)</f>
        <v>2708.33333333333</v>
      </c>
      <c r="K41" s="25" t="n">
        <f aca="false">IF(K44&gt;=0,(J43+K40)*Darl2_Zins/12,0)</f>
        <v>2708.33333333333</v>
      </c>
      <c r="L41" s="25" t="n">
        <f aca="false">IF(L44&gt;=0,(K43+L40)*Darl2_Zins/12,0)</f>
        <v>2708.33333333333</v>
      </c>
      <c r="M41" s="25" t="n">
        <f aca="false">IF(M44&gt;=0,(L43+M40)*Darl2_Zins/12,0)</f>
        <v>2708.33333333333</v>
      </c>
      <c r="N41" s="25" t="n">
        <f aca="false">IF(N44&gt;=0,(M43+N40)*Darl2_Zins/12,0)</f>
        <v>2708.33333333333</v>
      </c>
      <c r="O41" s="25" t="n">
        <f aca="false">IF(O44&gt;=0,(N43+O40)*Darl2_Zins/12,0)</f>
        <v>2708.33333333333</v>
      </c>
      <c r="P41" s="25" t="n">
        <f aca="false">IF(P44&gt;=0,(O43+P40)*Darl2_Zins/12,0)</f>
        <v>2708.33333333333</v>
      </c>
      <c r="Q41" s="25" t="n">
        <f aca="false">IF(Q44&gt;=0,(P43+Q40)*Darl2_Zins/12,0)</f>
        <v>2708.33333333333</v>
      </c>
      <c r="R41" s="25" t="n">
        <f aca="false">IF(R44&gt;=0,(Q43+R40)*Darl2_Zins/12,0)</f>
        <v>2708.33333333333</v>
      </c>
      <c r="S41" s="25" t="n">
        <f aca="false">IF(S44&gt;=0,(R43+S40)*Darl2_Zins/12,0)</f>
        <v>2708.33333333333</v>
      </c>
      <c r="T41" s="25" t="n">
        <f aca="false">IF(T44&gt;=0,(S43+T40)*Darl2_Zins/12,0)</f>
        <v>2708.33333333333</v>
      </c>
      <c r="U41" s="25" t="n">
        <f aca="false">IF(U44&gt;=0,(T43+U40)*Darl2_Zins/12,0)</f>
        <v>2708.33333333333</v>
      </c>
      <c r="V41" s="25" t="n">
        <f aca="false">IF(V44&gt;=0,(U43+V40)*Darl2_Zins/12,0)</f>
        <v>2708.33333333333</v>
      </c>
      <c r="W41" s="25" t="n">
        <f aca="false">IF(W44&gt;=0,(V43+W40)*Darl2_Zins/12,0)</f>
        <v>2708.33333333333</v>
      </c>
      <c r="X41" s="25" t="n">
        <f aca="false">IF(X44&gt;=0,(W43+X40)*Darl2_Zins/12,0)</f>
        <v>2708.33333333333</v>
      </c>
      <c r="Y41" s="25" t="n">
        <f aca="false">IF(Y44&gt;=0,(X43+Y40)*Darl2_Zins/12,0)</f>
        <v>2708.33333333333</v>
      </c>
      <c r="Z41" s="25" t="n">
        <f aca="false">IF(Z44&gt;=0,(Y43+Z40)*Darl2_Zins/12,0)</f>
        <v>2708.33333333333</v>
      </c>
      <c r="AA41" s="25" t="n">
        <f aca="false">IF(AA44&gt;=0,(Z43+AA40)*Darl2_Zins/12,0)</f>
        <v>2708.33333333333</v>
      </c>
      <c r="AB41" s="25" t="n">
        <f aca="false">IF(AB44&gt;=0,(AA43+AB40)*Darl2_Zins/12,0)</f>
        <v>2708.33333333333</v>
      </c>
      <c r="AC41" s="25" t="n">
        <f aca="false">IF(AC44&gt;=0,(AB43+AC40)*Darl2_Zins/12,0)</f>
        <v>2708.33333333333</v>
      </c>
      <c r="AD41" s="25" t="n">
        <f aca="false">IF(AD44&gt;=0,(AC43+AD40)*Darl2_Zins/12,0)</f>
        <v>2708.33333333333</v>
      </c>
      <c r="AE41" s="25" t="n">
        <f aca="false">IF(AE44&gt;=0,(AD43+AE40)*Darl2_Zins/12,0)</f>
        <v>2708.33333333333</v>
      </c>
      <c r="AF41" s="25" t="n">
        <f aca="false">IF(AF44&gt;=0,(AE43+AF40)*Darl2_Zins/12,0)</f>
        <v>2708.33333333333</v>
      </c>
      <c r="AG41" s="25" t="n">
        <f aca="false">IF(AG44&gt;=0,(AF43+AG40)*Darl2_Zins/12,0)</f>
        <v>2708.33333333333</v>
      </c>
      <c r="AH41" s="25" t="n">
        <f aca="false">IF(AH44&gt;=0,(AG43+AH40)*Darl2_Zins/12,0)</f>
        <v>2708.33333333333</v>
      </c>
      <c r="AI41" s="25" t="n">
        <f aca="false">IF(AI44&gt;=0,(AH43+AI40)*Darl2_Zins/12,0)</f>
        <v>2708.33333333333</v>
      </c>
      <c r="AJ41" s="25" t="n">
        <f aca="false">IF(AJ44&gt;=0,(AI43+AJ40)*Darl2_Zins/12,0)</f>
        <v>2708.33333333333</v>
      </c>
      <c r="AK41" s="25" t="n">
        <f aca="false">IF(AK44&gt;=0,(AJ43+AK40)*Darl2_Zins/12,0)</f>
        <v>2708.33333333333</v>
      </c>
      <c r="AL41" s="25" t="n">
        <f aca="false">IF(AL44&gt;=0,(AK43+AL40)*Darl2_Zins/12,0)</f>
        <v>2708.33333333333</v>
      </c>
      <c r="AM41" s="25" t="n">
        <f aca="false">IF(AM44&gt;=0,(AL43+AM40)*Darl2_Zins/12,0)</f>
        <v>2708.33333333333</v>
      </c>
      <c r="AN41" s="25" t="n">
        <f aca="false">IF(AN44&gt;=0,(AM43+AN40)*Darl2_Zins/12,0)</f>
        <v>2708.33333333333</v>
      </c>
      <c r="AO41" s="25" t="n">
        <f aca="false">IF(AO44&gt;=0,(AN43+AO40)*Darl2_Zins/12,0)</f>
        <v>2708.33333333333</v>
      </c>
      <c r="AP41" s="25" t="n">
        <f aca="false">IF(AP44&gt;=0,(AO43+AP40)*Darl2_Zins/12,0)</f>
        <v>2708.33333333333</v>
      </c>
      <c r="AQ41" s="25" t="n">
        <f aca="false">IF(AQ44&gt;=0,(AP43+AQ40)*Darl2_Zins/12,0)</f>
        <v>2708.33333333333</v>
      </c>
      <c r="AR41" s="25" t="n">
        <f aca="false">IF(AR44&gt;=0,(AQ43+AR40)*Darl2_Zins/12,0)</f>
        <v>2708.33333333333</v>
      </c>
      <c r="AS41" s="25" t="n">
        <f aca="false">IF(AS44&gt;=0,(AR43+AS40)*Darl2_Zins/12,0)</f>
        <v>2708.33333333333</v>
      </c>
      <c r="AT41" s="25" t="n">
        <f aca="false">IF(AT44&gt;=0,(AS43+AT40)*Darl2_Zins/12,0)</f>
        <v>2708.33333333333</v>
      </c>
      <c r="AU41" s="25" t="n">
        <f aca="false">IF(AU44&gt;=0,(AT43+AU40)*Darl2_Zins/12,0)</f>
        <v>2708.33333333333</v>
      </c>
      <c r="AV41" s="25" t="n">
        <f aca="false">IF(AV44&gt;=0,(AU43+AV40)*Darl2_Zins/12,0)</f>
        <v>2708.33333333333</v>
      </c>
      <c r="AW41" s="25" t="n">
        <f aca="false">IF(AW44&gt;=0,(AV43+AW40)*Darl2_Zins/12,0)</f>
        <v>2708.33333333333</v>
      </c>
      <c r="AX41" s="25" t="n">
        <f aca="false">IF(AX44&gt;=0,(AW43+AX40)*Darl2_Zins/12,0)</f>
        <v>2708.33333333333</v>
      </c>
      <c r="AY41" s="25" t="n">
        <f aca="false">IF(AY44&gt;=0,(AX43+AY40)*Darl2_Zins/12,0)</f>
        <v>2708.33333333333</v>
      </c>
      <c r="AZ41" s="25" t="n">
        <f aca="false">IF(AZ44&gt;=0,(AY43+AZ40)*Darl2_Zins/12,0)</f>
        <v>2708.33333333333</v>
      </c>
      <c r="BA41" s="25" t="n">
        <f aca="false">IF(BA44&gt;=0,(AZ43+BA40)*Darl2_Zins/12,0)</f>
        <v>2708.33333333333</v>
      </c>
      <c r="BB41" s="25" t="n">
        <f aca="false">IF(BB44&gt;=0,(BA43+BB40)*Darl2_Zins/12,0)</f>
        <v>2708.33333333333</v>
      </c>
      <c r="BC41" s="25" t="n">
        <f aca="false">IF(BC44&gt;=0,(BB43+BC40)*Darl2_Zins/12,0)</f>
        <v>2708.33333333333</v>
      </c>
      <c r="BD41" s="25" t="n">
        <f aca="false">IF(BD44&gt;=0,(BC43+BD40)*Darl2_Zins/12,0)</f>
        <v>2708.33333333333</v>
      </c>
      <c r="BE41" s="25" t="n">
        <f aca="false">IF(BE44&gt;=0,(BD43+BE40)*Darl2_Zins/12,0)</f>
        <v>2708.33333333333</v>
      </c>
      <c r="BF41" s="25" t="n">
        <f aca="false">IF(BF44&gt;=0,(BE43+BF40)*Darl2_Zins/12,0)</f>
        <v>2708.33333333333</v>
      </c>
      <c r="BG41" s="25" t="n">
        <f aca="false">IF(BG44&gt;=0,(BF43+BG40)*Darl2_Zins/12,0)</f>
        <v>2708.33333333333</v>
      </c>
      <c r="BH41" s="25" t="n">
        <f aca="false">IF(BH44&gt;=0,(BG43+BH40)*Darl2_Zins/12,0)</f>
        <v>2708.33333333333</v>
      </c>
      <c r="BI41" s="25" t="n">
        <f aca="false">IF(BI44&gt;=0,(BH43+BI40)*Darl2_Zins/12,0)</f>
        <v>2708.33333333333</v>
      </c>
      <c r="BJ41" s="25" t="n">
        <f aca="false">IF(BJ44&gt;=0,(BI43+BJ40)*Darl2_Zins/12,0)</f>
        <v>2708.33333333333</v>
      </c>
      <c r="BK41" s="25" t="n">
        <f aca="false">IF(BK44&gt;=0,(BJ43+BK40)*Darl2_Zins/12,0)</f>
        <v>2708.33333333333</v>
      </c>
      <c r="BL41" s="25" t="n">
        <f aca="false">IF(BL44&gt;=0,(BK43+BL40)*Darl2_Zins/12,0)</f>
        <v>2708.33333333333</v>
      </c>
      <c r="BM41" s="25" t="n">
        <f aca="false">IF(BM44&gt;=0,(BL43+BM40)*Darl2_Zins/12,0)</f>
        <v>2685.76388888889</v>
      </c>
      <c r="BN41" s="25" t="n">
        <f aca="false">IF(BN44&gt;=0,(BM43+BN40)*Darl2_Zins/12,0)</f>
        <v>2663.19444444444</v>
      </c>
      <c r="BO41" s="25" t="n">
        <f aca="false">IF(BO44&gt;=0,(BN43+BO40)*Darl2_Zins/12,0)</f>
        <v>2640.625</v>
      </c>
    </row>
    <row r="42" customFormat="false" ht="15" hidden="false" customHeight="false" outlineLevel="0" collapsed="false">
      <c r="B42" s="2" t="s">
        <v>415</v>
      </c>
      <c r="C42" s="25" t="n">
        <f aca="false">IF(Darl2_Laufzeit&gt;Darl2_Frei,IF(C44&gt;=Darl2_Frei*12,MIN(Darl2_Betrag/((Darl2_Laufzeit-Darl2_Frei)*12),(C40)),0),IF(C44=Darl2_Laufzeit*12-1,(C40),0))</f>
        <v>0</v>
      </c>
      <c r="D42" s="25" t="n">
        <f aca="false">IF(Darl2_Laufzeit&gt;Darl2_Frei,IF(D44&gt;=Darl2_Frei*12,MIN(Darl2_Betrag/((Darl2_Laufzeit-Darl2_Frei)*12),(C43+D40)),0),IF(D44=Darl2_Laufzeit*12-1,(C43+D40),0))</f>
        <v>0</v>
      </c>
      <c r="E42" s="25" t="n">
        <f aca="false">IF(Darl2_Laufzeit&gt;Darl2_Frei,IF(E44&gt;=Darl2_Frei*12,MIN(Darl2_Betrag/((Darl2_Laufzeit-Darl2_Frei)*12),(D43+E40)),0),IF(E44=Darl2_Laufzeit*12-1,(D43+E40),0))</f>
        <v>0</v>
      </c>
      <c r="F42" s="25" t="n">
        <f aca="false">IF(Darl2_Laufzeit&gt;Darl2_Frei,IF(F44&gt;=Darl2_Frei*12,MIN(Darl2_Betrag/((Darl2_Laufzeit-Darl2_Frei)*12),(E43+F40)),0),IF(F44=Darl2_Laufzeit*12-1,(E43+F40),0))</f>
        <v>0</v>
      </c>
      <c r="G42" s="25" t="n">
        <f aca="false">IF(Darl2_Laufzeit&gt;Darl2_Frei,IF(G44&gt;=Darl2_Frei*12,MIN(Darl2_Betrag/((Darl2_Laufzeit-Darl2_Frei)*12),(F43+G40)),0),IF(G44=Darl2_Laufzeit*12-1,(F43+G40),0))</f>
        <v>0</v>
      </c>
      <c r="H42" s="25" t="n">
        <f aca="false">IF(Darl2_Laufzeit&gt;Darl2_Frei,IF(H44&gt;=Darl2_Frei*12,MIN(Darl2_Betrag/((Darl2_Laufzeit-Darl2_Frei)*12),(G43+H40)),0),IF(H44=Darl2_Laufzeit*12-1,(G43+H40),0))</f>
        <v>0</v>
      </c>
      <c r="I42" s="25" t="n">
        <f aca="false">IF(Darl2_Laufzeit&gt;Darl2_Frei,IF(I44&gt;=Darl2_Frei*12,MIN(Darl2_Betrag/((Darl2_Laufzeit-Darl2_Frei)*12),(H43+I40)),0),IF(I44=Darl2_Laufzeit*12-1,(H43+I40),0))</f>
        <v>0</v>
      </c>
      <c r="J42" s="25" t="n">
        <f aca="false">IF(Darl2_Laufzeit&gt;Darl2_Frei,IF(J44&gt;=Darl2_Frei*12,MIN(Darl2_Betrag/((Darl2_Laufzeit-Darl2_Frei)*12),(I43+J40)),0),IF(J44=Darl2_Laufzeit*12-1,(I43+J40),0))</f>
        <v>0</v>
      </c>
      <c r="K42" s="25" t="n">
        <f aca="false">IF(Darl2_Laufzeit&gt;Darl2_Frei,IF(K44&gt;=Darl2_Frei*12,MIN(Darl2_Betrag/((Darl2_Laufzeit-Darl2_Frei)*12),(J43+K40)),0),IF(K44=Darl2_Laufzeit*12-1,(J43+K40),0))</f>
        <v>0</v>
      </c>
      <c r="L42" s="25" t="n">
        <f aca="false">IF(Darl2_Laufzeit&gt;Darl2_Frei,IF(L44&gt;=Darl2_Frei*12,MIN(Darl2_Betrag/((Darl2_Laufzeit-Darl2_Frei)*12),(K43+L40)),0),IF(L44=Darl2_Laufzeit*12-1,(K43+L40),0))</f>
        <v>0</v>
      </c>
      <c r="M42" s="25" t="n">
        <f aca="false">IF(Darl2_Laufzeit&gt;Darl2_Frei,IF(M44&gt;=Darl2_Frei*12,MIN(Darl2_Betrag/((Darl2_Laufzeit-Darl2_Frei)*12),(L43+M40)),0),IF(M44=Darl2_Laufzeit*12-1,(L43+M40),0))</f>
        <v>0</v>
      </c>
      <c r="N42" s="25" t="n">
        <f aca="false">IF(Darl2_Laufzeit&gt;Darl2_Frei,IF(N44&gt;=Darl2_Frei*12,MIN(Darl2_Betrag/((Darl2_Laufzeit-Darl2_Frei)*12),(M43+N40)),0),IF(N44=Darl2_Laufzeit*12-1,(M43+N40),0))</f>
        <v>0</v>
      </c>
      <c r="O42" s="25" t="n">
        <f aca="false">IF(Darl2_Laufzeit&gt;Darl2_Frei,IF(O44&gt;=Darl2_Frei*12,MIN(Darl2_Betrag/((Darl2_Laufzeit-Darl2_Frei)*12),(N43+O40)),0),IF(O44=Darl2_Laufzeit*12-1,(N43+O40),0))</f>
        <v>0</v>
      </c>
      <c r="P42" s="25" t="n">
        <f aca="false">IF(Darl2_Laufzeit&gt;Darl2_Frei,IF(P44&gt;=Darl2_Frei*12,MIN(Darl2_Betrag/((Darl2_Laufzeit-Darl2_Frei)*12),(O43+P40)),0),IF(P44=Darl2_Laufzeit*12-1,(O43+P40),0))</f>
        <v>0</v>
      </c>
      <c r="Q42" s="25" t="n">
        <f aca="false">IF(Darl2_Laufzeit&gt;Darl2_Frei,IF(Q44&gt;=Darl2_Frei*12,MIN(Darl2_Betrag/((Darl2_Laufzeit-Darl2_Frei)*12),(P43+Q40)),0),IF(Q44=Darl2_Laufzeit*12-1,(P43+Q40),0))</f>
        <v>0</v>
      </c>
      <c r="R42" s="25" t="n">
        <f aca="false">IF(Darl2_Laufzeit&gt;Darl2_Frei,IF(R44&gt;=Darl2_Frei*12,MIN(Darl2_Betrag/((Darl2_Laufzeit-Darl2_Frei)*12),(Q43+R40)),0),IF(R44=Darl2_Laufzeit*12-1,(Q43+R40),0))</f>
        <v>0</v>
      </c>
      <c r="S42" s="25" t="n">
        <f aca="false">IF(Darl2_Laufzeit&gt;Darl2_Frei,IF(S44&gt;=Darl2_Frei*12,MIN(Darl2_Betrag/((Darl2_Laufzeit-Darl2_Frei)*12),(R43+S40)),0),IF(S44=Darl2_Laufzeit*12-1,(R43+S40),0))</f>
        <v>0</v>
      </c>
      <c r="T42" s="25" t="n">
        <f aca="false">IF(Darl2_Laufzeit&gt;Darl2_Frei,IF(T44&gt;=Darl2_Frei*12,MIN(Darl2_Betrag/((Darl2_Laufzeit-Darl2_Frei)*12),(S43+T40)),0),IF(T44=Darl2_Laufzeit*12-1,(S43+T40),0))</f>
        <v>0</v>
      </c>
      <c r="U42" s="25" t="n">
        <f aca="false">IF(Darl2_Laufzeit&gt;Darl2_Frei,IF(U44&gt;=Darl2_Frei*12,MIN(Darl2_Betrag/((Darl2_Laufzeit-Darl2_Frei)*12),(T43+U40)),0),IF(U44=Darl2_Laufzeit*12-1,(T43+U40),0))</f>
        <v>0</v>
      </c>
      <c r="V42" s="25" t="n">
        <f aca="false">IF(Darl2_Laufzeit&gt;Darl2_Frei,IF(V44&gt;=Darl2_Frei*12,MIN(Darl2_Betrag/((Darl2_Laufzeit-Darl2_Frei)*12),(U43+V40)),0),IF(V44=Darl2_Laufzeit*12-1,(U43+V40),0))</f>
        <v>0</v>
      </c>
      <c r="W42" s="25" t="n">
        <f aca="false">IF(Darl2_Laufzeit&gt;Darl2_Frei,IF(W44&gt;=Darl2_Frei*12,MIN(Darl2_Betrag/((Darl2_Laufzeit-Darl2_Frei)*12),(V43+W40)),0),IF(W44=Darl2_Laufzeit*12-1,(V43+W40),0))</f>
        <v>0</v>
      </c>
      <c r="X42" s="25" t="n">
        <f aca="false">IF(Darl2_Laufzeit&gt;Darl2_Frei,IF(X44&gt;=Darl2_Frei*12,MIN(Darl2_Betrag/((Darl2_Laufzeit-Darl2_Frei)*12),(W43+X40)),0),IF(X44=Darl2_Laufzeit*12-1,(W43+X40),0))</f>
        <v>0</v>
      </c>
      <c r="Y42" s="25" t="n">
        <f aca="false">IF(Darl2_Laufzeit&gt;Darl2_Frei,IF(Y44&gt;=Darl2_Frei*12,MIN(Darl2_Betrag/((Darl2_Laufzeit-Darl2_Frei)*12),(X43+Y40)),0),IF(Y44=Darl2_Laufzeit*12-1,(X43+Y40),0))</f>
        <v>0</v>
      </c>
      <c r="Z42" s="25" t="n">
        <f aca="false">IF(Darl2_Laufzeit&gt;Darl2_Frei,IF(Z44&gt;=Darl2_Frei*12,MIN(Darl2_Betrag/((Darl2_Laufzeit-Darl2_Frei)*12),(Y43+Z40)),0),IF(Z44=Darl2_Laufzeit*12-1,(Y43+Z40),0))</f>
        <v>0</v>
      </c>
      <c r="AA42" s="25" t="n">
        <f aca="false">IF(Darl2_Laufzeit&gt;Darl2_Frei,IF(AA44&gt;=Darl2_Frei*12,MIN(Darl2_Betrag/((Darl2_Laufzeit-Darl2_Frei)*12),(Z43+AA40)),0),IF(AA44=Darl2_Laufzeit*12-1,(Z43+AA40),0))</f>
        <v>0</v>
      </c>
      <c r="AB42" s="25" t="n">
        <f aca="false">IF(Darl2_Laufzeit&gt;Darl2_Frei,IF(AB44&gt;=Darl2_Frei*12,MIN(Darl2_Betrag/((Darl2_Laufzeit-Darl2_Frei)*12),(AA43+AB40)),0),IF(AB44=Darl2_Laufzeit*12-1,(AA43+AB40),0))</f>
        <v>0</v>
      </c>
      <c r="AC42" s="25" t="n">
        <f aca="false">IF(Darl2_Laufzeit&gt;Darl2_Frei,IF(AC44&gt;=Darl2_Frei*12,MIN(Darl2_Betrag/((Darl2_Laufzeit-Darl2_Frei)*12),(AB43+AC40)),0),IF(AC44=Darl2_Laufzeit*12-1,(AB43+AC40),0))</f>
        <v>0</v>
      </c>
      <c r="AD42" s="25" t="n">
        <f aca="false">IF(Darl2_Laufzeit&gt;Darl2_Frei,IF(AD44&gt;=Darl2_Frei*12,MIN(Darl2_Betrag/((Darl2_Laufzeit-Darl2_Frei)*12),(AC43+AD40)),0),IF(AD44=Darl2_Laufzeit*12-1,(AC43+AD40),0))</f>
        <v>0</v>
      </c>
      <c r="AE42" s="25" t="n">
        <f aca="false">IF(Darl2_Laufzeit&gt;Darl2_Frei,IF(AE44&gt;=Darl2_Frei*12,MIN(Darl2_Betrag/((Darl2_Laufzeit-Darl2_Frei)*12),(AD43+AE40)),0),IF(AE44=Darl2_Laufzeit*12-1,(AD43+AE40),0))</f>
        <v>0</v>
      </c>
      <c r="AF42" s="25" t="n">
        <f aca="false">IF(Darl2_Laufzeit&gt;Darl2_Frei,IF(AF44&gt;=Darl2_Frei*12,MIN(Darl2_Betrag/((Darl2_Laufzeit-Darl2_Frei)*12),(AE43+AF40)),0),IF(AF44=Darl2_Laufzeit*12-1,(AE43+AF40),0))</f>
        <v>0</v>
      </c>
      <c r="AG42" s="25" t="n">
        <f aca="false">IF(Darl2_Laufzeit&gt;Darl2_Frei,IF(AG44&gt;=Darl2_Frei*12,MIN(Darl2_Betrag/((Darl2_Laufzeit-Darl2_Frei)*12),(AF43+AG40)),0),IF(AG44=Darl2_Laufzeit*12-1,(AF43+AG40),0))</f>
        <v>0</v>
      </c>
      <c r="AH42" s="25" t="n">
        <f aca="false">IF(Darl2_Laufzeit&gt;Darl2_Frei,IF(AH44&gt;=Darl2_Frei*12,MIN(Darl2_Betrag/((Darl2_Laufzeit-Darl2_Frei)*12),(AG43+AH40)),0),IF(AH44=Darl2_Laufzeit*12-1,(AG43+AH40),0))</f>
        <v>0</v>
      </c>
      <c r="AI42" s="25" t="n">
        <f aca="false">IF(Darl2_Laufzeit&gt;Darl2_Frei,IF(AI44&gt;=Darl2_Frei*12,MIN(Darl2_Betrag/((Darl2_Laufzeit-Darl2_Frei)*12),(AH43+AI40)),0),IF(AI44=Darl2_Laufzeit*12-1,(AH43+AI40),0))</f>
        <v>0</v>
      </c>
      <c r="AJ42" s="25" t="n">
        <f aca="false">IF(Darl2_Laufzeit&gt;Darl2_Frei,IF(AJ44&gt;=Darl2_Frei*12,MIN(Darl2_Betrag/((Darl2_Laufzeit-Darl2_Frei)*12),(AI43+AJ40)),0),IF(AJ44=Darl2_Laufzeit*12-1,(AI43+AJ40),0))</f>
        <v>0</v>
      </c>
      <c r="AK42" s="25" t="n">
        <f aca="false">IF(Darl2_Laufzeit&gt;Darl2_Frei,IF(AK44&gt;=Darl2_Frei*12,MIN(Darl2_Betrag/((Darl2_Laufzeit-Darl2_Frei)*12),(AJ43+AK40)),0),IF(AK44=Darl2_Laufzeit*12-1,(AJ43+AK40),0))</f>
        <v>0</v>
      </c>
      <c r="AL42" s="25" t="n">
        <f aca="false">IF(Darl2_Laufzeit&gt;Darl2_Frei,IF(AL44&gt;=Darl2_Frei*12,MIN(Darl2_Betrag/((Darl2_Laufzeit-Darl2_Frei)*12),(AK43+AL40)),0),IF(AL44=Darl2_Laufzeit*12-1,(AK43+AL40),0))</f>
        <v>0</v>
      </c>
      <c r="AM42" s="25" t="n">
        <f aca="false">IF(Darl2_Laufzeit&gt;Darl2_Frei,IF(AM44&gt;=Darl2_Frei*12,MIN(Darl2_Betrag/((Darl2_Laufzeit-Darl2_Frei)*12),(AL43+AM40)),0),IF(AM44=Darl2_Laufzeit*12-1,(AL43+AM40),0))</f>
        <v>0</v>
      </c>
      <c r="AN42" s="25" t="n">
        <f aca="false">IF(Darl2_Laufzeit&gt;Darl2_Frei,IF(AN44&gt;=Darl2_Frei*12,MIN(Darl2_Betrag/((Darl2_Laufzeit-Darl2_Frei)*12),(AM43+AN40)),0),IF(AN44=Darl2_Laufzeit*12-1,(AM43+AN40),0))</f>
        <v>0</v>
      </c>
      <c r="AO42" s="25" t="n">
        <f aca="false">IF(Darl2_Laufzeit&gt;Darl2_Frei,IF(AO44&gt;=Darl2_Frei*12,MIN(Darl2_Betrag/((Darl2_Laufzeit-Darl2_Frei)*12),(AN43+AO40)),0),IF(AO44=Darl2_Laufzeit*12-1,(AN43+AO40),0))</f>
        <v>0</v>
      </c>
      <c r="AP42" s="25" t="n">
        <f aca="false">IF(Darl2_Laufzeit&gt;Darl2_Frei,IF(AP44&gt;=Darl2_Frei*12,MIN(Darl2_Betrag/((Darl2_Laufzeit-Darl2_Frei)*12),(AO43+AP40)),0),IF(AP44=Darl2_Laufzeit*12-1,(AO43+AP40),0))</f>
        <v>0</v>
      </c>
      <c r="AQ42" s="25" t="n">
        <f aca="false">IF(Darl2_Laufzeit&gt;Darl2_Frei,IF(AQ44&gt;=Darl2_Frei*12,MIN(Darl2_Betrag/((Darl2_Laufzeit-Darl2_Frei)*12),(AP43+AQ40)),0),IF(AQ44=Darl2_Laufzeit*12-1,(AP43+AQ40),0))</f>
        <v>0</v>
      </c>
      <c r="AR42" s="25" t="n">
        <f aca="false">IF(Darl2_Laufzeit&gt;Darl2_Frei,IF(AR44&gt;=Darl2_Frei*12,MIN(Darl2_Betrag/((Darl2_Laufzeit-Darl2_Frei)*12),(AQ43+AR40)),0),IF(AR44=Darl2_Laufzeit*12-1,(AQ43+AR40),0))</f>
        <v>0</v>
      </c>
      <c r="AS42" s="25" t="n">
        <f aca="false">IF(Darl2_Laufzeit&gt;Darl2_Frei,IF(AS44&gt;=Darl2_Frei*12,MIN(Darl2_Betrag/((Darl2_Laufzeit-Darl2_Frei)*12),(AR43+AS40)),0),IF(AS44=Darl2_Laufzeit*12-1,(AR43+AS40),0))</f>
        <v>0</v>
      </c>
      <c r="AT42" s="25" t="n">
        <f aca="false">IF(Darl2_Laufzeit&gt;Darl2_Frei,IF(AT44&gt;=Darl2_Frei*12,MIN(Darl2_Betrag/((Darl2_Laufzeit-Darl2_Frei)*12),(AS43+AT40)),0),IF(AT44=Darl2_Laufzeit*12-1,(AS43+AT40),0))</f>
        <v>0</v>
      </c>
      <c r="AU42" s="25" t="n">
        <f aca="false">IF(Darl2_Laufzeit&gt;Darl2_Frei,IF(AU44&gt;=Darl2_Frei*12,MIN(Darl2_Betrag/((Darl2_Laufzeit-Darl2_Frei)*12),(AT43+AU40)),0),IF(AU44=Darl2_Laufzeit*12-1,(AT43+AU40),0))</f>
        <v>0</v>
      </c>
      <c r="AV42" s="25" t="n">
        <f aca="false">IF(Darl2_Laufzeit&gt;Darl2_Frei,IF(AV44&gt;=Darl2_Frei*12,MIN(Darl2_Betrag/((Darl2_Laufzeit-Darl2_Frei)*12),(AU43+AV40)),0),IF(AV44=Darl2_Laufzeit*12-1,(AU43+AV40),0))</f>
        <v>0</v>
      </c>
      <c r="AW42" s="25" t="n">
        <f aca="false">IF(Darl2_Laufzeit&gt;Darl2_Frei,IF(AW44&gt;=Darl2_Frei*12,MIN(Darl2_Betrag/((Darl2_Laufzeit-Darl2_Frei)*12),(AV43+AW40)),0),IF(AW44=Darl2_Laufzeit*12-1,(AV43+AW40),0))</f>
        <v>0</v>
      </c>
      <c r="AX42" s="25" t="n">
        <f aca="false">IF(Darl2_Laufzeit&gt;Darl2_Frei,IF(AX44&gt;=Darl2_Frei*12,MIN(Darl2_Betrag/((Darl2_Laufzeit-Darl2_Frei)*12),(AW43+AX40)),0),IF(AX44=Darl2_Laufzeit*12-1,(AW43+AX40),0))</f>
        <v>0</v>
      </c>
      <c r="AY42" s="25" t="n">
        <f aca="false">IF(Darl2_Laufzeit&gt;Darl2_Frei,IF(AY44&gt;=Darl2_Frei*12,MIN(Darl2_Betrag/((Darl2_Laufzeit-Darl2_Frei)*12),(AX43+AY40)),0),IF(AY44=Darl2_Laufzeit*12-1,(AX43+AY40),0))</f>
        <v>0</v>
      </c>
      <c r="AZ42" s="25" t="n">
        <f aca="false">IF(Darl2_Laufzeit&gt;Darl2_Frei,IF(AZ44&gt;=Darl2_Frei*12,MIN(Darl2_Betrag/((Darl2_Laufzeit-Darl2_Frei)*12),(AY43+AZ40)),0),IF(AZ44=Darl2_Laufzeit*12-1,(AY43+AZ40),0))</f>
        <v>0</v>
      </c>
      <c r="BA42" s="25" t="n">
        <f aca="false">IF(Darl2_Laufzeit&gt;Darl2_Frei,IF(BA44&gt;=Darl2_Frei*12,MIN(Darl2_Betrag/((Darl2_Laufzeit-Darl2_Frei)*12),(AZ43+BA40)),0),IF(BA44=Darl2_Laufzeit*12-1,(AZ43+BA40),0))</f>
        <v>0</v>
      </c>
      <c r="BB42" s="25" t="n">
        <f aca="false">IF(Darl2_Laufzeit&gt;Darl2_Frei,IF(BB44&gt;=Darl2_Frei*12,MIN(Darl2_Betrag/((Darl2_Laufzeit-Darl2_Frei)*12),(BA43+BB40)),0),IF(BB44=Darl2_Laufzeit*12-1,(BA43+BB40),0))</f>
        <v>0</v>
      </c>
      <c r="BC42" s="25" t="n">
        <f aca="false">IF(Darl2_Laufzeit&gt;Darl2_Frei,IF(BC44&gt;=Darl2_Frei*12,MIN(Darl2_Betrag/((Darl2_Laufzeit-Darl2_Frei)*12),(BB43+BC40)),0),IF(BC44=Darl2_Laufzeit*12-1,(BB43+BC40),0))</f>
        <v>0</v>
      </c>
      <c r="BD42" s="25" t="n">
        <f aca="false">IF(Darl2_Laufzeit&gt;Darl2_Frei,IF(BD44&gt;=Darl2_Frei*12,MIN(Darl2_Betrag/((Darl2_Laufzeit-Darl2_Frei)*12),(BC43+BD40)),0),IF(BD44=Darl2_Laufzeit*12-1,(BC43+BD40),0))</f>
        <v>0</v>
      </c>
      <c r="BE42" s="25" t="n">
        <f aca="false">IF(Darl2_Laufzeit&gt;Darl2_Frei,IF(BE44&gt;=Darl2_Frei*12,MIN(Darl2_Betrag/((Darl2_Laufzeit-Darl2_Frei)*12),(BD43+BE40)),0),IF(BE44=Darl2_Laufzeit*12-1,(BD43+BE40),0))</f>
        <v>0</v>
      </c>
      <c r="BF42" s="25" t="n">
        <f aca="false">IF(Darl2_Laufzeit&gt;Darl2_Frei,IF(BF44&gt;=Darl2_Frei*12,MIN(Darl2_Betrag/((Darl2_Laufzeit-Darl2_Frei)*12),(BE43+BF40)),0),IF(BF44=Darl2_Laufzeit*12-1,(BE43+BF40),0))</f>
        <v>0</v>
      </c>
      <c r="BG42" s="25" t="n">
        <f aca="false">IF(Darl2_Laufzeit&gt;Darl2_Frei,IF(BG44&gt;=Darl2_Frei*12,MIN(Darl2_Betrag/((Darl2_Laufzeit-Darl2_Frei)*12),(BF43+BG40)),0),IF(BG44=Darl2_Laufzeit*12-1,(BF43+BG40),0))</f>
        <v>0</v>
      </c>
      <c r="BH42" s="25" t="n">
        <f aca="false">IF(Darl2_Laufzeit&gt;Darl2_Frei,IF(BH44&gt;=Darl2_Frei*12,MIN(Darl2_Betrag/((Darl2_Laufzeit-Darl2_Frei)*12),(BG43+BH40)),0),IF(BH44=Darl2_Laufzeit*12-1,(BG43+BH40),0))</f>
        <v>0</v>
      </c>
      <c r="BI42" s="25" t="n">
        <f aca="false">IF(Darl2_Laufzeit&gt;Darl2_Frei,IF(BI44&gt;=Darl2_Frei*12,MIN(Darl2_Betrag/((Darl2_Laufzeit-Darl2_Frei)*12),(BH43+BI40)),0),IF(BI44=Darl2_Laufzeit*12-1,(BH43+BI40),0))</f>
        <v>0</v>
      </c>
      <c r="BJ42" s="25" t="n">
        <f aca="false">IF(Darl2_Laufzeit&gt;Darl2_Frei,IF(BJ44&gt;=Darl2_Frei*12,MIN(Darl2_Betrag/((Darl2_Laufzeit-Darl2_Frei)*12),(BI43+BJ40)),0),IF(BJ44=Darl2_Laufzeit*12-1,(BI43+BJ40),0))</f>
        <v>0</v>
      </c>
      <c r="BK42" s="25" t="n">
        <f aca="false">IF(Darl2_Laufzeit&gt;Darl2_Frei,IF(BK44&gt;=Darl2_Frei*12,MIN(Darl2_Betrag/((Darl2_Laufzeit-Darl2_Frei)*12),(BJ43+BK40)),0),IF(BK44=Darl2_Laufzeit*12-1,(BJ43+BK40),0))</f>
        <v>0</v>
      </c>
      <c r="BL42" s="25" t="n">
        <f aca="false">IF(Darl2_Laufzeit&gt;Darl2_Frei,IF(BL44&gt;=Darl2_Frei*12,MIN(Darl2_Betrag/((Darl2_Laufzeit-Darl2_Frei)*12),(BK43+BL40)),0),IF(BL44=Darl2_Laufzeit*12-1,(BK43+BL40),0))</f>
        <v>4166.66666666667</v>
      </c>
      <c r="BM42" s="25" t="n">
        <f aca="false">IF(Darl2_Laufzeit&gt;Darl2_Frei,IF(BM44&gt;=Darl2_Frei*12,MIN(Darl2_Betrag/((Darl2_Laufzeit-Darl2_Frei)*12),(BL43+BM40)),0),IF(BM44=Darl2_Laufzeit*12-1,(BL43+BM40),0))</f>
        <v>4166.66666666667</v>
      </c>
      <c r="BN42" s="25" t="n">
        <f aca="false">IF(Darl2_Laufzeit&gt;Darl2_Frei,IF(BN44&gt;=Darl2_Frei*12,MIN(Darl2_Betrag/((Darl2_Laufzeit-Darl2_Frei)*12),(BM43+BN40)),0),IF(BN44=Darl2_Laufzeit*12-1,(BM43+BN40),0))</f>
        <v>4166.66666666667</v>
      </c>
      <c r="BO42" s="25" t="n">
        <f aca="false">IF(Darl2_Laufzeit&gt;Darl2_Frei,IF(BO44&gt;=Darl2_Frei*12,MIN(Darl2_Betrag/((Darl2_Laufzeit-Darl2_Frei)*12),(BN43+BO40)),0),IF(BO44=Darl2_Laufzeit*12-1,(BN43+BO40),0))</f>
        <v>4166.66666666667</v>
      </c>
    </row>
    <row r="43" customFormat="false" ht="15" hidden="false" customHeight="false" outlineLevel="0" collapsed="false">
      <c r="B43" s="2" t="s">
        <v>416</v>
      </c>
      <c r="C43" s="25" t="n">
        <f aca="false">(C40)-C42</f>
        <v>0</v>
      </c>
      <c r="D43" s="25" t="n">
        <f aca="false">(C43+D40)-D42</f>
        <v>500000</v>
      </c>
      <c r="E43" s="25" t="n">
        <f aca="false">(D43+E40)-E42</f>
        <v>500000</v>
      </c>
      <c r="F43" s="25" t="n">
        <f aca="false">(E43+F40)-F42</f>
        <v>500000</v>
      </c>
      <c r="G43" s="25" t="n">
        <f aca="false">(F43+G40)-G42</f>
        <v>500000</v>
      </c>
      <c r="H43" s="25" t="n">
        <f aca="false">(G43+H40)-H42</f>
        <v>500000</v>
      </c>
      <c r="I43" s="25" t="n">
        <f aca="false">(H43+I40)-I42</f>
        <v>500000</v>
      </c>
      <c r="J43" s="25" t="n">
        <f aca="false">(I43+J40)-J42</f>
        <v>500000</v>
      </c>
      <c r="K43" s="25" t="n">
        <f aca="false">(J43+K40)-K42</f>
        <v>500000</v>
      </c>
      <c r="L43" s="25" t="n">
        <f aca="false">(K43+L40)-L42</f>
        <v>500000</v>
      </c>
      <c r="M43" s="25" t="n">
        <f aca="false">(L43+M40)-M42</f>
        <v>500000</v>
      </c>
      <c r="N43" s="25" t="n">
        <f aca="false">(M43+N40)-N42</f>
        <v>500000</v>
      </c>
      <c r="O43" s="25" t="n">
        <f aca="false">(N43+O40)-O42</f>
        <v>500000</v>
      </c>
      <c r="P43" s="25" t="n">
        <f aca="false">(O43+P40)-P42</f>
        <v>500000</v>
      </c>
      <c r="Q43" s="25" t="n">
        <f aca="false">(P43+Q40)-Q42</f>
        <v>500000</v>
      </c>
      <c r="R43" s="25" t="n">
        <f aca="false">(Q43+R40)-R42</f>
        <v>500000</v>
      </c>
      <c r="S43" s="25" t="n">
        <f aca="false">(R43+S40)-S42</f>
        <v>500000</v>
      </c>
      <c r="T43" s="25" t="n">
        <f aca="false">(S43+T40)-T42</f>
        <v>500000</v>
      </c>
      <c r="U43" s="25" t="n">
        <f aca="false">(T43+U40)-U42</f>
        <v>500000</v>
      </c>
      <c r="V43" s="25" t="n">
        <f aca="false">(U43+V40)-V42</f>
        <v>500000</v>
      </c>
      <c r="W43" s="25" t="n">
        <f aca="false">(V43+W40)-W42</f>
        <v>500000</v>
      </c>
      <c r="X43" s="25" t="n">
        <f aca="false">(W43+X40)-X42</f>
        <v>500000</v>
      </c>
      <c r="Y43" s="25" t="n">
        <f aca="false">(X43+Y40)-Y42</f>
        <v>500000</v>
      </c>
      <c r="Z43" s="25" t="n">
        <f aca="false">(Y43+Z40)-Z42</f>
        <v>500000</v>
      </c>
      <c r="AA43" s="25" t="n">
        <f aca="false">(Z43+AA40)-AA42</f>
        <v>500000</v>
      </c>
      <c r="AB43" s="25" t="n">
        <f aca="false">(AA43+AB40)-AB42</f>
        <v>500000</v>
      </c>
      <c r="AC43" s="25" t="n">
        <f aca="false">(AB43+AC40)-AC42</f>
        <v>500000</v>
      </c>
      <c r="AD43" s="25" t="n">
        <f aca="false">(AC43+AD40)-AD42</f>
        <v>500000</v>
      </c>
      <c r="AE43" s="25" t="n">
        <f aca="false">(AD43+AE40)-AE42</f>
        <v>500000</v>
      </c>
      <c r="AF43" s="25" t="n">
        <f aca="false">(AE43+AF40)-AF42</f>
        <v>500000</v>
      </c>
      <c r="AG43" s="25" t="n">
        <f aca="false">(AF43+AG40)-AG42</f>
        <v>500000</v>
      </c>
      <c r="AH43" s="25" t="n">
        <f aca="false">(AG43+AH40)-AH42</f>
        <v>500000</v>
      </c>
      <c r="AI43" s="25" t="n">
        <f aca="false">(AH43+AI40)-AI42</f>
        <v>500000</v>
      </c>
      <c r="AJ43" s="25" t="n">
        <f aca="false">(AI43+AJ40)-AJ42</f>
        <v>500000</v>
      </c>
      <c r="AK43" s="25" t="n">
        <f aca="false">(AJ43+AK40)-AK42</f>
        <v>500000</v>
      </c>
      <c r="AL43" s="25" t="n">
        <f aca="false">(AK43+AL40)-AL42</f>
        <v>500000</v>
      </c>
      <c r="AM43" s="25" t="n">
        <f aca="false">(AL43+AM40)-AM42</f>
        <v>500000</v>
      </c>
      <c r="AN43" s="25" t="n">
        <f aca="false">(AM43+AN40)-AN42</f>
        <v>500000</v>
      </c>
      <c r="AO43" s="25" t="n">
        <f aca="false">(AN43+AO40)-AO42</f>
        <v>500000</v>
      </c>
      <c r="AP43" s="25" t="n">
        <f aca="false">(AO43+AP40)-AP42</f>
        <v>500000</v>
      </c>
      <c r="AQ43" s="25" t="n">
        <f aca="false">(AP43+AQ40)-AQ42</f>
        <v>500000</v>
      </c>
      <c r="AR43" s="25" t="n">
        <f aca="false">(AQ43+AR40)-AR42</f>
        <v>500000</v>
      </c>
      <c r="AS43" s="25" t="n">
        <f aca="false">(AR43+AS40)-AS42</f>
        <v>500000</v>
      </c>
      <c r="AT43" s="25" t="n">
        <f aca="false">(AS43+AT40)-AT42</f>
        <v>500000</v>
      </c>
      <c r="AU43" s="25" t="n">
        <f aca="false">(AT43+AU40)-AU42</f>
        <v>500000</v>
      </c>
      <c r="AV43" s="25" t="n">
        <f aca="false">(AU43+AV40)-AV42</f>
        <v>500000</v>
      </c>
      <c r="AW43" s="25" t="n">
        <f aca="false">(AV43+AW40)-AW42</f>
        <v>500000</v>
      </c>
      <c r="AX43" s="25" t="n">
        <f aca="false">(AW43+AX40)-AX42</f>
        <v>500000</v>
      </c>
      <c r="AY43" s="25" t="n">
        <f aca="false">(AX43+AY40)-AY42</f>
        <v>500000</v>
      </c>
      <c r="AZ43" s="25" t="n">
        <f aca="false">(AY43+AZ40)-AZ42</f>
        <v>500000</v>
      </c>
      <c r="BA43" s="25" t="n">
        <f aca="false">(AZ43+BA40)-BA42</f>
        <v>500000</v>
      </c>
      <c r="BB43" s="25" t="n">
        <f aca="false">(BA43+BB40)-BB42</f>
        <v>500000</v>
      </c>
      <c r="BC43" s="25" t="n">
        <f aca="false">(BB43+BC40)-BC42</f>
        <v>500000</v>
      </c>
      <c r="BD43" s="25" t="n">
        <f aca="false">(BC43+BD40)-BD42</f>
        <v>500000</v>
      </c>
      <c r="BE43" s="25" t="n">
        <f aca="false">(BD43+BE40)-BE42</f>
        <v>500000</v>
      </c>
      <c r="BF43" s="25" t="n">
        <f aca="false">(BE43+BF40)-BF42</f>
        <v>500000</v>
      </c>
      <c r="BG43" s="25" t="n">
        <f aca="false">(BF43+BG40)-BG42</f>
        <v>500000</v>
      </c>
      <c r="BH43" s="25" t="n">
        <f aca="false">(BG43+BH40)-BH42</f>
        <v>500000</v>
      </c>
      <c r="BI43" s="25" t="n">
        <f aca="false">(BH43+BI40)-BI42</f>
        <v>500000</v>
      </c>
      <c r="BJ43" s="25" t="n">
        <f aca="false">(BI43+BJ40)-BJ42</f>
        <v>500000</v>
      </c>
      <c r="BK43" s="25" t="n">
        <f aca="false">(BJ43+BK40)-BK42</f>
        <v>500000</v>
      </c>
      <c r="BL43" s="25" t="n">
        <f aca="false">(BK43+BL40)-BL42</f>
        <v>495833.333333333</v>
      </c>
      <c r="BM43" s="25" t="n">
        <f aca="false">(BL43+BM40)-BM42</f>
        <v>491666.666666667</v>
      </c>
      <c r="BN43" s="25" t="n">
        <f aca="false">(BM43+BN40)-BN42</f>
        <v>487500</v>
      </c>
      <c r="BO43" s="25" t="n">
        <f aca="false">(BN43+BO40)-BO42</f>
        <v>483333.333333333</v>
      </c>
    </row>
    <row r="44" customFormat="false" ht="15" hidden="false" customHeight="false" outlineLevel="0" collapsed="false">
      <c r="B44" s="2" t="s">
        <v>417</v>
      </c>
      <c r="C44" s="36" t="n">
        <f aca="false">C$30-MATCH(Darl2_Auszahlung,Fz_Monat,0)</f>
        <v>-1</v>
      </c>
      <c r="D44" s="36" t="n">
        <f aca="false">D$30-MATCH(Darl2_Auszahlung,Fz_Monat,0)</f>
        <v>0</v>
      </c>
      <c r="E44" s="36" t="n">
        <f aca="false">E$30-MATCH(Darl2_Auszahlung,Fz_Monat,0)</f>
        <v>1</v>
      </c>
      <c r="F44" s="36" t="n">
        <f aca="false">F$30-MATCH(Darl2_Auszahlung,Fz_Monat,0)</f>
        <v>2</v>
      </c>
      <c r="G44" s="36" t="n">
        <f aca="false">G$30-MATCH(Darl2_Auszahlung,Fz_Monat,0)</f>
        <v>3</v>
      </c>
      <c r="H44" s="36" t="n">
        <f aca="false">H$30-MATCH(Darl2_Auszahlung,Fz_Monat,0)</f>
        <v>4</v>
      </c>
      <c r="I44" s="36" t="n">
        <f aca="false">I$30-MATCH(Darl2_Auszahlung,Fz_Monat,0)</f>
        <v>5</v>
      </c>
      <c r="J44" s="36" t="n">
        <f aca="false">J$30-MATCH(Darl2_Auszahlung,Fz_Monat,0)</f>
        <v>6</v>
      </c>
      <c r="K44" s="36" t="n">
        <f aca="false">K$30-MATCH(Darl2_Auszahlung,Fz_Monat,0)</f>
        <v>7</v>
      </c>
      <c r="L44" s="36" t="n">
        <f aca="false">L$30-MATCH(Darl2_Auszahlung,Fz_Monat,0)</f>
        <v>8</v>
      </c>
      <c r="M44" s="36" t="n">
        <f aca="false">M$30-MATCH(Darl2_Auszahlung,Fz_Monat,0)</f>
        <v>9</v>
      </c>
      <c r="N44" s="36" t="n">
        <f aca="false">N$30-MATCH(Darl2_Auszahlung,Fz_Monat,0)</f>
        <v>10</v>
      </c>
      <c r="O44" s="36" t="n">
        <f aca="false">O$30-MATCH(Darl2_Auszahlung,Fz_Monat,0)</f>
        <v>11</v>
      </c>
      <c r="P44" s="36" t="n">
        <f aca="false">P$30-MATCH(Darl2_Auszahlung,Fz_Monat,0)</f>
        <v>12</v>
      </c>
      <c r="Q44" s="36" t="n">
        <f aca="false">Q$30-MATCH(Darl2_Auszahlung,Fz_Monat,0)</f>
        <v>13</v>
      </c>
      <c r="R44" s="36" t="n">
        <f aca="false">R$30-MATCH(Darl2_Auszahlung,Fz_Monat,0)</f>
        <v>14</v>
      </c>
      <c r="S44" s="36" t="n">
        <f aca="false">S$30-MATCH(Darl2_Auszahlung,Fz_Monat,0)</f>
        <v>15</v>
      </c>
      <c r="T44" s="36" t="n">
        <f aca="false">T$30-MATCH(Darl2_Auszahlung,Fz_Monat,0)</f>
        <v>16</v>
      </c>
      <c r="U44" s="36" t="n">
        <f aca="false">U$30-MATCH(Darl2_Auszahlung,Fz_Monat,0)</f>
        <v>17</v>
      </c>
      <c r="V44" s="36" t="n">
        <f aca="false">V$30-MATCH(Darl2_Auszahlung,Fz_Monat,0)</f>
        <v>18</v>
      </c>
      <c r="W44" s="36" t="n">
        <f aca="false">W$30-MATCH(Darl2_Auszahlung,Fz_Monat,0)</f>
        <v>19</v>
      </c>
      <c r="X44" s="36" t="n">
        <f aca="false">X$30-MATCH(Darl2_Auszahlung,Fz_Monat,0)</f>
        <v>20</v>
      </c>
      <c r="Y44" s="36" t="n">
        <f aca="false">Y$30-MATCH(Darl2_Auszahlung,Fz_Monat,0)</f>
        <v>21</v>
      </c>
      <c r="Z44" s="36" t="n">
        <f aca="false">Z$30-MATCH(Darl2_Auszahlung,Fz_Monat,0)</f>
        <v>22</v>
      </c>
      <c r="AA44" s="36" t="n">
        <f aca="false">AA$30-MATCH(Darl2_Auszahlung,Fz_Monat,0)</f>
        <v>23</v>
      </c>
      <c r="AB44" s="36" t="n">
        <f aca="false">AB$30-MATCH(Darl2_Auszahlung,Fz_Monat,0)</f>
        <v>24</v>
      </c>
      <c r="AC44" s="36" t="n">
        <f aca="false">AC$30-MATCH(Darl2_Auszahlung,Fz_Monat,0)</f>
        <v>25</v>
      </c>
      <c r="AD44" s="36" t="n">
        <f aca="false">AD$30-MATCH(Darl2_Auszahlung,Fz_Monat,0)</f>
        <v>26</v>
      </c>
      <c r="AE44" s="36" t="n">
        <f aca="false">AE$30-MATCH(Darl2_Auszahlung,Fz_Monat,0)</f>
        <v>27</v>
      </c>
      <c r="AF44" s="36" t="n">
        <f aca="false">AF$30-MATCH(Darl2_Auszahlung,Fz_Monat,0)</f>
        <v>28</v>
      </c>
      <c r="AG44" s="36" t="n">
        <f aca="false">AG$30-MATCH(Darl2_Auszahlung,Fz_Monat,0)</f>
        <v>29</v>
      </c>
      <c r="AH44" s="36" t="n">
        <f aca="false">AH$30-MATCH(Darl2_Auszahlung,Fz_Monat,0)</f>
        <v>30</v>
      </c>
      <c r="AI44" s="36" t="n">
        <f aca="false">AI$30-MATCH(Darl2_Auszahlung,Fz_Monat,0)</f>
        <v>31</v>
      </c>
      <c r="AJ44" s="36" t="n">
        <f aca="false">AJ$30-MATCH(Darl2_Auszahlung,Fz_Monat,0)</f>
        <v>32</v>
      </c>
      <c r="AK44" s="36" t="n">
        <f aca="false">AK$30-MATCH(Darl2_Auszahlung,Fz_Monat,0)</f>
        <v>33</v>
      </c>
      <c r="AL44" s="36" t="n">
        <f aca="false">AL$30-MATCH(Darl2_Auszahlung,Fz_Monat,0)</f>
        <v>34</v>
      </c>
      <c r="AM44" s="36" t="n">
        <f aca="false">AM$30-MATCH(Darl2_Auszahlung,Fz_Monat,0)</f>
        <v>35</v>
      </c>
      <c r="AN44" s="36" t="n">
        <f aca="false">AN$30-MATCH(Darl2_Auszahlung,Fz_Monat,0)</f>
        <v>36</v>
      </c>
      <c r="AO44" s="36" t="n">
        <f aca="false">AO$30-MATCH(Darl2_Auszahlung,Fz_Monat,0)</f>
        <v>37</v>
      </c>
      <c r="AP44" s="36" t="n">
        <f aca="false">AP$30-MATCH(Darl2_Auszahlung,Fz_Monat,0)</f>
        <v>38</v>
      </c>
      <c r="AQ44" s="36" t="n">
        <f aca="false">AQ$30-MATCH(Darl2_Auszahlung,Fz_Monat,0)</f>
        <v>39</v>
      </c>
      <c r="AR44" s="36" t="n">
        <f aca="false">AR$30-MATCH(Darl2_Auszahlung,Fz_Monat,0)</f>
        <v>40</v>
      </c>
      <c r="AS44" s="36" t="n">
        <f aca="false">AS$30-MATCH(Darl2_Auszahlung,Fz_Monat,0)</f>
        <v>41</v>
      </c>
      <c r="AT44" s="36" t="n">
        <f aca="false">AT$30-MATCH(Darl2_Auszahlung,Fz_Monat,0)</f>
        <v>42</v>
      </c>
      <c r="AU44" s="36" t="n">
        <f aca="false">AU$30-MATCH(Darl2_Auszahlung,Fz_Monat,0)</f>
        <v>43</v>
      </c>
      <c r="AV44" s="36" t="n">
        <f aca="false">AV$30-MATCH(Darl2_Auszahlung,Fz_Monat,0)</f>
        <v>44</v>
      </c>
      <c r="AW44" s="36" t="n">
        <f aca="false">AW$30-MATCH(Darl2_Auszahlung,Fz_Monat,0)</f>
        <v>45</v>
      </c>
      <c r="AX44" s="36" t="n">
        <f aca="false">AX$30-MATCH(Darl2_Auszahlung,Fz_Monat,0)</f>
        <v>46</v>
      </c>
      <c r="AY44" s="36" t="n">
        <f aca="false">AY$30-MATCH(Darl2_Auszahlung,Fz_Monat,0)</f>
        <v>47</v>
      </c>
      <c r="AZ44" s="36" t="n">
        <f aca="false">AZ$30-MATCH(Darl2_Auszahlung,Fz_Monat,0)</f>
        <v>48</v>
      </c>
      <c r="BA44" s="36" t="n">
        <f aca="false">BA$30-MATCH(Darl2_Auszahlung,Fz_Monat,0)</f>
        <v>49</v>
      </c>
      <c r="BB44" s="36" t="n">
        <f aca="false">BB$30-MATCH(Darl2_Auszahlung,Fz_Monat,0)</f>
        <v>50</v>
      </c>
      <c r="BC44" s="36" t="n">
        <f aca="false">BC$30-MATCH(Darl2_Auszahlung,Fz_Monat,0)</f>
        <v>51</v>
      </c>
      <c r="BD44" s="36" t="n">
        <f aca="false">BD$30-MATCH(Darl2_Auszahlung,Fz_Monat,0)</f>
        <v>52</v>
      </c>
      <c r="BE44" s="36" t="n">
        <f aca="false">BE$30-MATCH(Darl2_Auszahlung,Fz_Monat,0)</f>
        <v>53</v>
      </c>
      <c r="BF44" s="36" t="n">
        <f aca="false">BF$30-MATCH(Darl2_Auszahlung,Fz_Monat,0)</f>
        <v>54</v>
      </c>
      <c r="BG44" s="36" t="n">
        <f aca="false">BG$30-MATCH(Darl2_Auszahlung,Fz_Monat,0)</f>
        <v>55</v>
      </c>
      <c r="BH44" s="36" t="n">
        <f aca="false">BH$30-MATCH(Darl2_Auszahlung,Fz_Monat,0)</f>
        <v>56</v>
      </c>
      <c r="BI44" s="36" t="n">
        <f aca="false">BI$30-MATCH(Darl2_Auszahlung,Fz_Monat,0)</f>
        <v>57</v>
      </c>
      <c r="BJ44" s="36" t="n">
        <f aca="false">BJ$30-MATCH(Darl2_Auszahlung,Fz_Monat,0)</f>
        <v>58</v>
      </c>
      <c r="BK44" s="36" t="n">
        <f aca="false">BK$30-MATCH(Darl2_Auszahlung,Fz_Monat,0)</f>
        <v>59</v>
      </c>
      <c r="BL44" s="36" t="n">
        <f aca="false">BL$30-MATCH(Darl2_Auszahlung,Fz_Monat,0)</f>
        <v>60</v>
      </c>
      <c r="BM44" s="36" t="n">
        <f aca="false">BM$30-MATCH(Darl2_Auszahlung,Fz_Monat,0)</f>
        <v>61</v>
      </c>
      <c r="BN44" s="36" t="n">
        <f aca="false">BN$30-MATCH(Darl2_Auszahlung,Fz_Monat,0)</f>
        <v>62</v>
      </c>
      <c r="BO44" s="36" t="n">
        <f aca="false">BO$30-MATCH(Darl2_Auszahlung,Fz_Monat,0)</f>
        <v>63</v>
      </c>
    </row>
    <row r="46" customFormat="false" ht="15" hidden="false" customHeight="false" outlineLevel="0" collapsed="false">
      <c r="B46" s="6" t="str">
        <f aca="false">Darl3_Name</f>
        <v>KfW ERP-Gründerkredit StartGeld (067), 80 % Haftungsfreistellung</v>
      </c>
    </row>
    <row r="47" customFormat="false" ht="15" hidden="false" customHeight="false" outlineLevel="0" collapsed="false">
      <c r="B47" s="2" t="s">
        <v>413</v>
      </c>
      <c r="C47" s="25" t="n">
        <f aca="false">IF(C$28=Darl3_Auszahlung,Darl3_Betrag,0)</f>
        <v>0</v>
      </c>
      <c r="D47" s="25" t="n">
        <f aca="false">IF(D$28=Darl3_Auszahlung,Darl3_Betrag,0)</f>
        <v>200000</v>
      </c>
      <c r="E47" s="25" t="n">
        <f aca="false">IF(E$28=Darl3_Auszahlung,Darl3_Betrag,0)</f>
        <v>0</v>
      </c>
      <c r="F47" s="25" t="n">
        <f aca="false">IF(F$28=Darl3_Auszahlung,Darl3_Betrag,0)</f>
        <v>0</v>
      </c>
      <c r="G47" s="25" t="n">
        <f aca="false">IF(G$28=Darl3_Auszahlung,Darl3_Betrag,0)</f>
        <v>0</v>
      </c>
      <c r="H47" s="25" t="n">
        <f aca="false">IF(H$28=Darl3_Auszahlung,Darl3_Betrag,0)</f>
        <v>0</v>
      </c>
      <c r="I47" s="25" t="n">
        <f aca="false">IF(I$28=Darl3_Auszahlung,Darl3_Betrag,0)</f>
        <v>0</v>
      </c>
      <c r="J47" s="25" t="n">
        <f aca="false">IF(J$28=Darl3_Auszahlung,Darl3_Betrag,0)</f>
        <v>0</v>
      </c>
      <c r="K47" s="25" t="n">
        <f aca="false">IF(K$28=Darl3_Auszahlung,Darl3_Betrag,0)</f>
        <v>0</v>
      </c>
      <c r="L47" s="25" t="n">
        <f aca="false">IF(L$28=Darl3_Auszahlung,Darl3_Betrag,0)</f>
        <v>0</v>
      </c>
      <c r="M47" s="25" t="n">
        <f aca="false">IF(M$28=Darl3_Auszahlung,Darl3_Betrag,0)</f>
        <v>0</v>
      </c>
      <c r="N47" s="25" t="n">
        <f aca="false">IF(N$28=Darl3_Auszahlung,Darl3_Betrag,0)</f>
        <v>0</v>
      </c>
      <c r="O47" s="25" t="n">
        <f aca="false">IF(O$28=Darl3_Auszahlung,Darl3_Betrag,0)</f>
        <v>0</v>
      </c>
      <c r="P47" s="25" t="n">
        <f aca="false">IF(P$28=Darl3_Auszahlung,Darl3_Betrag,0)</f>
        <v>0</v>
      </c>
      <c r="Q47" s="25" t="n">
        <f aca="false">IF(Q$28=Darl3_Auszahlung,Darl3_Betrag,0)</f>
        <v>0</v>
      </c>
      <c r="R47" s="25" t="n">
        <f aca="false">IF(R$28=Darl3_Auszahlung,Darl3_Betrag,0)</f>
        <v>0</v>
      </c>
      <c r="S47" s="25" t="n">
        <f aca="false">IF(S$28=Darl3_Auszahlung,Darl3_Betrag,0)</f>
        <v>0</v>
      </c>
      <c r="T47" s="25" t="n">
        <f aca="false">IF(T$28=Darl3_Auszahlung,Darl3_Betrag,0)</f>
        <v>0</v>
      </c>
      <c r="U47" s="25" t="n">
        <f aca="false">IF(U$28=Darl3_Auszahlung,Darl3_Betrag,0)</f>
        <v>0</v>
      </c>
      <c r="V47" s="25" t="n">
        <f aca="false">IF(V$28=Darl3_Auszahlung,Darl3_Betrag,0)</f>
        <v>0</v>
      </c>
      <c r="W47" s="25" t="n">
        <f aca="false">IF(W$28=Darl3_Auszahlung,Darl3_Betrag,0)</f>
        <v>0</v>
      </c>
      <c r="X47" s="25" t="n">
        <f aca="false">IF(X$28=Darl3_Auszahlung,Darl3_Betrag,0)</f>
        <v>0</v>
      </c>
      <c r="Y47" s="25" t="n">
        <f aca="false">IF(Y$28=Darl3_Auszahlung,Darl3_Betrag,0)</f>
        <v>0</v>
      </c>
      <c r="Z47" s="25" t="n">
        <f aca="false">IF(Z$28=Darl3_Auszahlung,Darl3_Betrag,0)</f>
        <v>0</v>
      </c>
      <c r="AA47" s="25" t="n">
        <f aca="false">IF(AA$28=Darl3_Auszahlung,Darl3_Betrag,0)</f>
        <v>0</v>
      </c>
      <c r="AB47" s="25" t="n">
        <f aca="false">IF(AB$28=Darl3_Auszahlung,Darl3_Betrag,0)</f>
        <v>0</v>
      </c>
      <c r="AC47" s="25" t="n">
        <f aca="false">IF(AC$28=Darl3_Auszahlung,Darl3_Betrag,0)</f>
        <v>0</v>
      </c>
      <c r="AD47" s="25" t="n">
        <f aca="false">IF(AD$28=Darl3_Auszahlung,Darl3_Betrag,0)</f>
        <v>0</v>
      </c>
      <c r="AE47" s="25" t="n">
        <f aca="false">IF(AE$28=Darl3_Auszahlung,Darl3_Betrag,0)</f>
        <v>0</v>
      </c>
      <c r="AF47" s="25" t="n">
        <f aca="false">IF(AF$28=Darl3_Auszahlung,Darl3_Betrag,0)</f>
        <v>0</v>
      </c>
      <c r="AG47" s="25" t="n">
        <f aca="false">IF(AG$28=Darl3_Auszahlung,Darl3_Betrag,0)</f>
        <v>0</v>
      </c>
      <c r="AH47" s="25" t="n">
        <f aca="false">IF(AH$28=Darl3_Auszahlung,Darl3_Betrag,0)</f>
        <v>0</v>
      </c>
      <c r="AI47" s="25" t="n">
        <f aca="false">IF(AI$28=Darl3_Auszahlung,Darl3_Betrag,0)</f>
        <v>0</v>
      </c>
      <c r="AJ47" s="25" t="n">
        <f aca="false">IF(AJ$28=Darl3_Auszahlung,Darl3_Betrag,0)</f>
        <v>0</v>
      </c>
      <c r="AK47" s="25" t="n">
        <f aca="false">IF(AK$28=Darl3_Auszahlung,Darl3_Betrag,0)</f>
        <v>0</v>
      </c>
      <c r="AL47" s="25" t="n">
        <f aca="false">IF(AL$28=Darl3_Auszahlung,Darl3_Betrag,0)</f>
        <v>0</v>
      </c>
      <c r="AM47" s="25" t="n">
        <f aca="false">IF(AM$28=Darl3_Auszahlung,Darl3_Betrag,0)</f>
        <v>0</v>
      </c>
      <c r="AN47" s="25" t="n">
        <f aca="false">IF(AN$28=Darl3_Auszahlung,Darl3_Betrag,0)</f>
        <v>0</v>
      </c>
      <c r="AO47" s="25" t="n">
        <f aca="false">IF(AO$28=Darl3_Auszahlung,Darl3_Betrag,0)</f>
        <v>0</v>
      </c>
      <c r="AP47" s="25" t="n">
        <f aca="false">IF(AP$28=Darl3_Auszahlung,Darl3_Betrag,0)</f>
        <v>0</v>
      </c>
      <c r="AQ47" s="25" t="n">
        <f aca="false">IF(AQ$28=Darl3_Auszahlung,Darl3_Betrag,0)</f>
        <v>0</v>
      </c>
      <c r="AR47" s="25" t="n">
        <f aca="false">IF(AR$28=Darl3_Auszahlung,Darl3_Betrag,0)</f>
        <v>0</v>
      </c>
      <c r="AS47" s="25" t="n">
        <f aca="false">IF(AS$28=Darl3_Auszahlung,Darl3_Betrag,0)</f>
        <v>0</v>
      </c>
      <c r="AT47" s="25" t="n">
        <f aca="false">IF(AT$28=Darl3_Auszahlung,Darl3_Betrag,0)</f>
        <v>0</v>
      </c>
      <c r="AU47" s="25" t="n">
        <f aca="false">IF(AU$28=Darl3_Auszahlung,Darl3_Betrag,0)</f>
        <v>0</v>
      </c>
      <c r="AV47" s="25" t="n">
        <f aca="false">IF(AV$28=Darl3_Auszahlung,Darl3_Betrag,0)</f>
        <v>0</v>
      </c>
      <c r="AW47" s="25" t="n">
        <f aca="false">IF(AW$28=Darl3_Auszahlung,Darl3_Betrag,0)</f>
        <v>0</v>
      </c>
      <c r="AX47" s="25" t="n">
        <f aca="false">IF(AX$28=Darl3_Auszahlung,Darl3_Betrag,0)</f>
        <v>0</v>
      </c>
      <c r="AY47" s="25" t="n">
        <f aca="false">IF(AY$28=Darl3_Auszahlung,Darl3_Betrag,0)</f>
        <v>0</v>
      </c>
      <c r="AZ47" s="25" t="n">
        <f aca="false">IF(AZ$28=Darl3_Auszahlung,Darl3_Betrag,0)</f>
        <v>0</v>
      </c>
      <c r="BA47" s="25" t="n">
        <f aca="false">IF(BA$28=Darl3_Auszahlung,Darl3_Betrag,0)</f>
        <v>0</v>
      </c>
      <c r="BB47" s="25" t="n">
        <f aca="false">IF(BB$28=Darl3_Auszahlung,Darl3_Betrag,0)</f>
        <v>0</v>
      </c>
      <c r="BC47" s="25" t="n">
        <f aca="false">IF(BC$28=Darl3_Auszahlung,Darl3_Betrag,0)</f>
        <v>0</v>
      </c>
      <c r="BD47" s="25" t="n">
        <f aca="false">IF(BD$28=Darl3_Auszahlung,Darl3_Betrag,0)</f>
        <v>0</v>
      </c>
      <c r="BE47" s="25" t="n">
        <f aca="false">IF(BE$28=Darl3_Auszahlung,Darl3_Betrag,0)</f>
        <v>0</v>
      </c>
      <c r="BF47" s="25" t="n">
        <f aca="false">IF(BF$28=Darl3_Auszahlung,Darl3_Betrag,0)</f>
        <v>0</v>
      </c>
      <c r="BG47" s="25" t="n">
        <f aca="false">IF(BG$28=Darl3_Auszahlung,Darl3_Betrag,0)</f>
        <v>0</v>
      </c>
      <c r="BH47" s="25" t="n">
        <f aca="false">IF(BH$28=Darl3_Auszahlung,Darl3_Betrag,0)</f>
        <v>0</v>
      </c>
      <c r="BI47" s="25" t="n">
        <f aca="false">IF(BI$28=Darl3_Auszahlung,Darl3_Betrag,0)</f>
        <v>0</v>
      </c>
      <c r="BJ47" s="25" t="n">
        <f aca="false">IF(BJ$28=Darl3_Auszahlung,Darl3_Betrag,0)</f>
        <v>0</v>
      </c>
      <c r="BK47" s="25" t="n">
        <f aca="false">IF(BK$28=Darl3_Auszahlung,Darl3_Betrag,0)</f>
        <v>0</v>
      </c>
      <c r="BL47" s="25" t="n">
        <f aca="false">IF(BL$28=Darl3_Auszahlung,Darl3_Betrag,0)</f>
        <v>0</v>
      </c>
      <c r="BM47" s="25" t="n">
        <f aca="false">IF(BM$28=Darl3_Auszahlung,Darl3_Betrag,0)</f>
        <v>0</v>
      </c>
      <c r="BN47" s="25" t="n">
        <f aca="false">IF(BN$28=Darl3_Auszahlung,Darl3_Betrag,0)</f>
        <v>0</v>
      </c>
      <c r="BO47" s="25" t="n">
        <f aca="false">IF(BO$28=Darl3_Auszahlung,Darl3_Betrag,0)</f>
        <v>0</v>
      </c>
    </row>
    <row r="48" customFormat="false" ht="15" hidden="false" customHeight="false" outlineLevel="0" collapsed="false">
      <c r="B48" s="2" t="s">
        <v>414</v>
      </c>
      <c r="C48" s="25" t="n">
        <f aca="false">IF(C51&gt;=0,(C47)*Darl3_Zins/12,0)</f>
        <v>0</v>
      </c>
      <c r="D48" s="25" t="n">
        <f aca="false">IF(D51&gt;=0,(C50+D47)*Darl3_Zins/12,0)</f>
        <v>958.333333333333</v>
      </c>
      <c r="E48" s="25" t="n">
        <f aca="false">IF(E51&gt;=0,(D50+E47)*Darl3_Zins/12,0)</f>
        <v>958.333333333333</v>
      </c>
      <c r="F48" s="25" t="n">
        <f aca="false">IF(F51&gt;=0,(E50+F47)*Darl3_Zins/12,0)</f>
        <v>958.333333333333</v>
      </c>
      <c r="G48" s="25" t="n">
        <f aca="false">IF(G51&gt;=0,(F50+G47)*Darl3_Zins/12,0)</f>
        <v>958.333333333333</v>
      </c>
      <c r="H48" s="25" t="n">
        <f aca="false">IF(H51&gt;=0,(G50+H47)*Darl3_Zins/12,0)</f>
        <v>958.333333333333</v>
      </c>
      <c r="I48" s="25" t="n">
        <f aca="false">IF(I51&gt;=0,(H50+I47)*Darl3_Zins/12,0)</f>
        <v>958.333333333333</v>
      </c>
      <c r="J48" s="25" t="n">
        <f aca="false">IF(J51&gt;=0,(I50+J47)*Darl3_Zins/12,0)</f>
        <v>958.333333333333</v>
      </c>
      <c r="K48" s="25" t="n">
        <f aca="false">IF(K51&gt;=0,(J50+K47)*Darl3_Zins/12,0)</f>
        <v>958.333333333333</v>
      </c>
      <c r="L48" s="25" t="n">
        <f aca="false">IF(L51&gt;=0,(K50+L47)*Darl3_Zins/12,0)</f>
        <v>958.333333333333</v>
      </c>
      <c r="M48" s="25" t="n">
        <f aca="false">IF(M51&gt;=0,(L50+M47)*Darl3_Zins/12,0)</f>
        <v>958.333333333333</v>
      </c>
      <c r="N48" s="25" t="n">
        <f aca="false">IF(N51&gt;=0,(M50+N47)*Darl3_Zins/12,0)</f>
        <v>958.333333333333</v>
      </c>
      <c r="O48" s="25" t="n">
        <f aca="false">IF(O51&gt;=0,(N50+O47)*Darl3_Zins/12,0)</f>
        <v>958.333333333333</v>
      </c>
      <c r="P48" s="25" t="n">
        <f aca="false">IF(P51&gt;=0,(O50+P47)*Darl3_Zins/12,0)</f>
        <v>958.333333333333</v>
      </c>
      <c r="Q48" s="25" t="n">
        <f aca="false">IF(Q51&gt;=0,(P50+Q47)*Darl3_Zins/12,0)</f>
        <v>958.333333333333</v>
      </c>
      <c r="R48" s="25" t="n">
        <f aca="false">IF(R51&gt;=0,(Q50+R47)*Darl3_Zins/12,0)</f>
        <v>958.333333333333</v>
      </c>
      <c r="S48" s="25" t="n">
        <f aca="false">IF(S51&gt;=0,(R50+S47)*Darl3_Zins/12,0)</f>
        <v>958.333333333333</v>
      </c>
      <c r="T48" s="25" t="n">
        <f aca="false">IF(T51&gt;=0,(S50+T47)*Darl3_Zins/12,0)</f>
        <v>958.333333333333</v>
      </c>
      <c r="U48" s="25" t="n">
        <f aca="false">IF(U51&gt;=0,(T50+U47)*Darl3_Zins/12,0)</f>
        <v>958.333333333333</v>
      </c>
      <c r="V48" s="25" t="n">
        <f aca="false">IF(V51&gt;=0,(U50+V47)*Darl3_Zins/12,0)</f>
        <v>958.333333333333</v>
      </c>
      <c r="W48" s="25" t="n">
        <f aca="false">IF(W51&gt;=0,(V50+W47)*Darl3_Zins/12,0)</f>
        <v>958.333333333333</v>
      </c>
      <c r="X48" s="25" t="n">
        <f aca="false">IF(X51&gt;=0,(W50+X47)*Darl3_Zins/12,0)</f>
        <v>958.333333333333</v>
      </c>
      <c r="Y48" s="25" t="n">
        <f aca="false">IF(Y51&gt;=0,(X50+Y47)*Darl3_Zins/12,0)</f>
        <v>958.333333333333</v>
      </c>
      <c r="Z48" s="25" t="n">
        <f aca="false">IF(Z51&gt;=0,(Y50+Z47)*Darl3_Zins/12,0)</f>
        <v>958.333333333333</v>
      </c>
      <c r="AA48" s="25" t="n">
        <f aca="false">IF(AA51&gt;=0,(Z50+AA47)*Darl3_Zins/12,0)</f>
        <v>958.333333333333</v>
      </c>
      <c r="AB48" s="25" t="n">
        <f aca="false">IF(AB51&gt;=0,(AA50+AB47)*Darl3_Zins/12,0)</f>
        <v>958.333333333333</v>
      </c>
      <c r="AC48" s="25" t="n">
        <f aca="false">IF(AC51&gt;=0,(AB50+AC47)*Darl3_Zins/12,0)</f>
        <v>948.350694444445</v>
      </c>
      <c r="AD48" s="25" t="n">
        <f aca="false">IF(AD51&gt;=0,(AC50+AD47)*Darl3_Zins/12,0)</f>
        <v>938.368055555556</v>
      </c>
      <c r="AE48" s="25" t="n">
        <f aca="false">IF(AE51&gt;=0,(AD50+AE47)*Darl3_Zins/12,0)</f>
        <v>928.385416666667</v>
      </c>
      <c r="AF48" s="25" t="n">
        <f aca="false">IF(AF51&gt;=0,(AE50+AF47)*Darl3_Zins/12,0)</f>
        <v>918.402777777778</v>
      </c>
      <c r="AG48" s="25" t="n">
        <f aca="false">IF(AG51&gt;=0,(AF50+AG47)*Darl3_Zins/12,0)</f>
        <v>908.420138888889</v>
      </c>
      <c r="AH48" s="25" t="n">
        <f aca="false">IF(AH51&gt;=0,(AG50+AH47)*Darl3_Zins/12,0)</f>
        <v>898.4375</v>
      </c>
      <c r="AI48" s="25" t="n">
        <f aca="false">IF(AI51&gt;=0,(AH50+AI47)*Darl3_Zins/12,0)</f>
        <v>888.454861111111</v>
      </c>
      <c r="AJ48" s="25" t="n">
        <f aca="false">IF(AJ51&gt;=0,(AI50+AJ47)*Darl3_Zins/12,0)</f>
        <v>878.472222222222</v>
      </c>
      <c r="AK48" s="25" t="n">
        <f aca="false">IF(AK51&gt;=0,(AJ50+AK47)*Darl3_Zins/12,0)</f>
        <v>868.489583333333</v>
      </c>
      <c r="AL48" s="25" t="n">
        <f aca="false">IF(AL51&gt;=0,(AK50+AL47)*Darl3_Zins/12,0)</f>
        <v>858.506944444444</v>
      </c>
      <c r="AM48" s="25" t="n">
        <f aca="false">IF(AM51&gt;=0,(AL50+AM47)*Darl3_Zins/12,0)</f>
        <v>848.524305555555</v>
      </c>
      <c r="AN48" s="25" t="n">
        <f aca="false">IF(AN51&gt;=0,(AM50+AN47)*Darl3_Zins/12,0)</f>
        <v>838.541666666666</v>
      </c>
      <c r="AO48" s="25" t="n">
        <f aca="false">IF(AO51&gt;=0,(AN50+AO47)*Darl3_Zins/12,0)</f>
        <v>828.559027777777</v>
      </c>
      <c r="AP48" s="25" t="n">
        <f aca="false">IF(AP51&gt;=0,(AO50+AP47)*Darl3_Zins/12,0)</f>
        <v>818.576388888888</v>
      </c>
      <c r="AQ48" s="25" t="n">
        <f aca="false">IF(AQ51&gt;=0,(AP50+AQ47)*Darl3_Zins/12,0)</f>
        <v>808.593749999999</v>
      </c>
      <c r="AR48" s="25" t="n">
        <f aca="false">IF(AR51&gt;=0,(AQ50+AR47)*Darl3_Zins/12,0)</f>
        <v>798.61111111111</v>
      </c>
      <c r="AS48" s="25" t="n">
        <f aca="false">IF(AS51&gt;=0,(AR50+AS47)*Darl3_Zins/12,0)</f>
        <v>788.628472222221</v>
      </c>
      <c r="AT48" s="25" t="n">
        <f aca="false">IF(AT51&gt;=0,(AS50+AT47)*Darl3_Zins/12,0)</f>
        <v>778.645833333333</v>
      </c>
      <c r="AU48" s="25" t="n">
        <f aca="false">IF(AU51&gt;=0,(AT50+AU47)*Darl3_Zins/12,0)</f>
        <v>768.663194444444</v>
      </c>
      <c r="AV48" s="25" t="n">
        <f aca="false">IF(AV51&gt;=0,(AU50+AV47)*Darl3_Zins/12,0)</f>
        <v>758.680555555555</v>
      </c>
      <c r="AW48" s="25" t="n">
        <f aca="false">IF(AW51&gt;=0,(AV50+AW47)*Darl3_Zins/12,0)</f>
        <v>748.697916666666</v>
      </c>
      <c r="AX48" s="25" t="n">
        <f aca="false">IF(AX51&gt;=0,(AW50+AX47)*Darl3_Zins/12,0)</f>
        <v>738.715277777777</v>
      </c>
      <c r="AY48" s="25" t="n">
        <f aca="false">IF(AY51&gt;=0,(AX50+AY47)*Darl3_Zins/12,0)</f>
        <v>728.732638888888</v>
      </c>
      <c r="AZ48" s="25" t="n">
        <f aca="false">IF(AZ51&gt;=0,(AY50+AZ47)*Darl3_Zins/12,0)</f>
        <v>718.749999999999</v>
      </c>
      <c r="BA48" s="25" t="n">
        <f aca="false">IF(BA51&gt;=0,(AZ50+BA47)*Darl3_Zins/12,0)</f>
        <v>708.76736111111</v>
      </c>
      <c r="BB48" s="25" t="n">
        <f aca="false">IF(BB51&gt;=0,(BA50+BB47)*Darl3_Zins/12,0)</f>
        <v>698.784722222221</v>
      </c>
      <c r="BC48" s="25" t="n">
        <f aca="false">IF(BC51&gt;=0,(BB50+BC47)*Darl3_Zins/12,0)</f>
        <v>688.802083333332</v>
      </c>
      <c r="BD48" s="25" t="n">
        <f aca="false">IF(BD51&gt;=0,(BC50+BD47)*Darl3_Zins/12,0)</f>
        <v>678.819444444443</v>
      </c>
      <c r="BE48" s="25" t="n">
        <f aca="false">IF(BE51&gt;=0,(BD50+BE47)*Darl3_Zins/12,0)</f>
        <v>668.836805555554</v>
      </c>
      <c r="BF48" s="25" t="n">
        <f aca="false">IF(BF51&gt;=0,(BE50+BF47)*Darl3_Zins/12,0)</f>
        <v>658.854166666665</v>
      </c>
      <c r="BG48" s="25" t="n">
        <f aca="false">IF(BG51&gt;=0,(BF50+BG47)*Darl3_Zins/12,0)</f>
        <v>648.871527777776</v>
      </c>
      <c r="BH48" s="25" t="n">
        <f aca="false">IF(BH51&gt;=0,(BG50+BH47)*Darl3_Zins/12,0)</f>
        <v>638.888888888887</v>
      </c>
      <c r="BI48" s="25" t="n">
        <f aca="false">IF(BI51&gt;=0,(BH50+BI47)*Darl3_Zins/12,0)</f>
        <v>628.906249999999</v>
      </c>
      <c r="BJ48" s="25" t="n">
        <f aca="false">IF(BJ51&gt;=0,(BI50+BJ47)*Darl3_Zins/12,0)</f>
        <v>618.92361111111</v>
      </c>
      <c r="BK48" s="25" t="n">
        <f aca="false">IF(BK51&gt;=0,(BJ50+BK47)*Darl3_Zins/12,0)</f>
        <v>608.940972222221</v>
      </c>
      <c r="BL48" s="25" t="n">
        <f aca="false">IF(BL51&gt;=0,(BK50+BL47)*Darl3_Zins/12,0)</f>
        <v>598.958333333332</v>
      </c>
      <c r="BM48" s="25" t="n">
        <f aca="false">IF(BM51&gt;=0,(BL50+BM47)*Darl3_Zins/12,0)</f>
        <v>588.975694444443</v>
      </c>
      <c r="BN48" s="25" t="n">
        <f aca="false">IF(BN51&gt;=0,(BM50+BN47)*Darl3_Zins/12,0)</f>
        <v>578.993055555554</v>
      </c>
      <c r="BO48" s="25" t="n">
        <f aca="false">IF(BO51&gt;=0,(BN50+BO47)*Darl3_Zins/12,0)</f>
        <v>569.010416666665</v>
      </c>
    </row>
    <row r="49" customFormat="false" ht="15" hidden="false" customHeight="false" outlineLevel="0" collapsed="false">
      <c r="B49" s="2" t="s">
        <v>415</v>
      </c>
      <c r="C49" s="25" t="n">
        <f aca="false">IF(Darl3_Laufzeit&gt;Darl3_Frei,IF(C51&gt;=Darl3_Frei*12,MIN(Darl3_Betrag/((Darl3_Laufzeit-Darl3_Frei)*12),(C47)),0),IF(C51=Darl3_Laufzeit*12-1,(C47),0))</f>
        <v>0</v>
      </c>
      <c r="D49" s="25" t="n">
        <f aca="false">IF(Darl3_Laufzeit&gt;Darl3_Frei,IF(D51&gt;=Darl3_Frei*12,MIN(Darl3_Betrag/((Darl3_Laufzeit-Darl3_Frei)*12),(C50+D47)),0),IF(D51=Darl3_Laufzeit*12-1,(C50+D47),0))</f>
        <v>0</v>
      </c>
      <c r="E49" s="25" t="n">
        <f aca="false">IF(Darl3_Laufzeit&gt;Darl3_Frei,IF(E51&gt;=Darl3_Frei*12,MIN(Darl3_Betrag/((Darl3_Laufzeit-Darl3_Frei)*12),(D50+E47)),0),IF(E51=Darl3_Laufzeit*12-1,(D50+E47),0))</f>
        <v>0</v>
      </c>
      <c r="F49" s="25" t="n">
        <f aca="false">IF(Darl3_Laufzeit&gt;Darl3_Frei,IF(F51&gt;=Darl3_Frei*12,MIN(Darl3_Betrag/((Darl3_Laufzeit-Darl3_Frei)*12),(E50+F47)),0),IF(F51=Darl3_Laufzeit*12-1,(E50+F47),0))</f>
        <v>0</v>
      </c>
      <c r="G49" s="25" t="n">
        <f aca="false">IF(Darl3_Laufzeit&gt;Darl3_Frei,IF(G51&gt;=Darl3_Frei*12,MIN(Darl3_Betrag/((Darl3_Laufzeit-Darl3_Frei)*12),(F50+G47)),0),IF(G51=Darl3_Laufzeit*12-1,(F50+G47),0))</f>
        <v>0</v>
      </c>
      <c r="H49" s="25" t="n">
        <f aca="false">IF(Darl3_Laufzeit&gt;Darl3_Frei,IF(H51&gt;=Darl3_Frei*12,MIN(Darl3_Betrag/((Darl3_Laufzeit-Darl3_Frei)*12),(G50+H47)),0),IF(H51=Darl3_Laufzeit*12-1,(G50+H47),0))</f>
        <v>0</v>
      </c>
      <c r="I49" s="25" t="n">
        <f aca="false">IF(Darl3_Laufzeit&gt;Darl3_Frei,IF(I51&gt;=Darl3_Frei*12,MIN(Darl3_Betrag/((Darl3_Laufzeit-Darl3_Frei)*12),(H50+I47)),0),IF(I51=Darl3_Laufzeit*12-1,(H50+I47),0))</f>
        <v>0</v>
      </c>
      <c r="J49" s="25" t="n">
        <f aca="false">IF(Darl3_Laufzeit&gt;Darl3_Frei,IF(J51&gt;=Darl3_Frei*12,MIN(Darl3_Betrag/((Darl3_Laufzeit-Darl3_Frei)*12),(I50+J47)),0),IF(J51=Darl3_Laufzeit*12-1,(I50+J47),0))</f>
        <v>0</v>
      </c>
      <c r="K49" s="25" t="n">
        <f aca="false">IF(Darl3_Laufzeit&gt;Darl3_Frei,IF(K51&gt;=Darl3_Frei*12,MIN(Darl3_Betrag/((Darl3_Laufzeit-Darl3_Frei)*12),(J50+K47)),0),IF(K51=Darl3_Laufzeit*12-1,(J50+K47),0))</f>
        <v>0</v>
      </c>
      <c r="L49" s="25" t="n">
        <f aca="false">IF(Darl3_Laufzeit&gt;Darl3_Frei,IF(L51&gt;=Darl3_Frei*12,MIN(Darl3_Betrag/((Darl3_Laufzeit-Darl3_Frei)*12),(K50+L47)),0),IF(L51=Darl3_Laufzeit*12-1,(K50+L47),0))</f>
        <v>0</v>
      </c>
      <c r="M49" s="25" t="n">
        <f aca="false">IF(Darl3_Laufzeit&gt;Darl3_Frei,IF(M51&gt;=Darl3_Frei*12,MIN(Darl3_Betrag/((Darl3_Laufzeit-Darl3_Frei)*12),(L50+M47)),0),IF(M51=Darl3_Laufzeit*12-1,(L50+M47),0))</f>
        <v>0</v>
      </c>
      <c r="N49" s="25" t="n">
        <f aca="false">IF(Darl3_Laufzeit&gt;Darl3_Frei,IF(N51&gt;=Darl3_Frei*12,MIN(Darl3_Betrag/((Darl3_Laufzeit-Darl3_Frei)*12),(M50+N47)),0),IF(N51=Darl3_Laufzeit*12-1,(M50+N47),0))</f>
        <v>0</v>
      </c>
      <c r="O49" s="25" t="n">
        <f aca="false">IF(Darl3_Laufzeit&gt;Darl3_Frei,IF(O51&gt;=Darl3_Frei*12,MIN(Darl3_Betrag/((Darl3_Laufzeit-Darl3_Frei)*12),(N50+O47)),0),IF(O51=Darl3_Laufzeit*12-1,(N50+O47),0))</f>
        <v>0</v>
      </c>
      <c r="P49" s="25" t="n">
        <f aca="false">IF(Darl3_Laufzeit&gt;Darl3_Frei,IF(P51&gt;=Darl3_Frei*12,MIN(Darl3_Betrag/((Darl3_Laufzeit-Darl3_Frei)*12),(O50+P47)),0),IF(P51=Darl3_Laufzeit*12-1,(O50+P47),0))</f>
        <v>0</v>
      </c>
      <c r="Q49" s="25" t="n">
        <f aca="false">IF(Darl3_Laufzeit&gt;Darl3_Frei,IF(Q51&gt;=Darl3_Frei*12,MIN(Darl3_Betrag/((Darl3_Laufzeit-Darl3_Frei)*12),(P50+Q47)),0),IF(Q51=Darl3_Laufzeit*12-1,(P50+Q47),0))</f>
        <v>0</v>
      </c>
      <c r="R49" s="25" t="n">
        <f aca="false">IF(Darl3_Laufzeit&gt;Darl3_Frei,IF(R51&gt;=Darl3_Frei*12,MIN(Darl3_Betrag/((Darl3_Laufzeit-Darl3_Frei)*12),(Q50+R47)),0),IF(R51=Darl3_Laufzeit*12-1,(Q50+R47),0))</f>
        <v>0</v>
      </c>
      <c r="S49" s="25" t="n">
        <f aca="false">IF(Darl3_Laufzeit&gt;Darl3_Frei,IF(S51&gt;=Darl3_Frei*12,MIN(Darl3_Betrag/((Darl3_Laufzeit-Darl3_Frei)*12),(R50+S47)),0),IF(S51=Darl3_Laufzeit*12-1,(R50+S47),0))</f>
        <v>0</v>
      </c>
      <c r="T49" s="25" t="n">
        <f aca="false">IF(Darl3_Laufzeit&gt;Darl3_Frei,IF(T51&gt;=Darl3_Frei*12,MIN(Darl3_Betrag/((Darl3_Laufzeit-Darl3_Frei)*12),(S50+T47)),0),IF(T51=Darl3_Laufzeit*12-1,(S50+T47),0))</f>
        <v>0</v>
      </c>
      <c r="U49" s="25" t="n">
        <f aca="false">IF(Darl3_Laufzeit&gt;Darl3_Frei,IF(U51&gt;=Darl3_Frei*12,MIN(Darl3_Betrag/((Darl3_Laufzeit-Darl3_Frei)*12),(T50+U47)),0),IF(U51=Darl3_Laufzeit*12-1,(T50+U47),0))</f>
        <v>0</v>
      </c>
      <c r="V49" s="25" t="n">
        <f aca="false">IF(Darl3_Laufzeit&gt;Darl3_Frei,IF(V51&gt;=Darl3_Frei*12,MIN(Darl3_Betrag/((Darl3_Laufzeit-Darl3_Frei)*12),(U50+V47)),0),IF(V51=Darl3_Laufzeit*12-1,(U50+V47),0))</f>
        <v>0</v>
      </c>
      <c r="W49" s="25" t="n">
        <f aca="false">IF(Darl3_Laufzeit&gt;Darl3_Frei,IF(W51&gt;=Darl3_Frei*12,MIN(Darl3_Betrag/((Darl3_Laufzeit-Darl3_Frei)*12),(V50+W47)),0),IF(W51=Darl3_Laufzeit*12-1,(V50+W47),0))</f>
        <v>0</v>
      </c>
      <c r="X49" s="25" t="n">
        <f aca="false">IF(Darl3_Laufzeit&gt;Darl3_Frei,IF(X51&gt;=Darl3_Frei*12,MIN(Darl3_Betrag/((Darl3_Laufzeit-Darl3_Frei)*12),(W50+X47)),0),IF(X51=Darl3_Laufzeit*12-1,(W50+X47),0))</f>
        <v>0</v>
      </c>
      <c r="Y49" s="25" t="n">
        <f aca="false">IF(Darl3_Laufzeit&gt;Darl3_Frei,IF(Y51&gt;=Darl3_Frei*12,MIN(Darl3_Betrag/((Darl3_Laufzeit-Darl3_Frei)*12),(X50+Y47)),0),IF(Y51=Darl3_Laufzeit*12-1,(X50+Y47),0))</f>
        <v>0</v>
      </c>
      <c r="Z49" s="25" t="n">
        <f aca="false">IF(Darl3_Laufzeit&gt;Darl3_Frei,IF(Z51&gt;=Darl3_Frei*12,MIN(Darl3_Betrag/((Darl3_Laufzeit-Darl3_Frei)*12),(Y50+Z47)),0),IF(Z51=Darl3_Laufzeit*12-1,(Y50+Z47),0))</f>
        <v>0</v>
      </c>
      <c r="AA49" s="25" t="n">
        <f aca="false">IF(Darl3_Laufzeit&gt;Darl3_Frei,IF(AA51&gt;=Darl3_Frei*12,MIN(Darl3_Betrag/((Darl3_Laufzeit-Darl3_Frei)*12),(Z50+AA47)),0),IF(AA51=Darl3_Laufzeit*12-1,(Z50+AA47),0))</f>
        <v>0</v>
      </c>
      <c r="AB49" s="25" t="n">
        <f aca="false">IF(Darl3_Laufzeit&gt;Darl3_Frei,IF(AB51&gt;=Darl3_Frei*12,MIN(Darl3_Betrag/((Darl3_Laufzeit-Darl3_Frei)*12),(AA50+AB47)),0),IF(AB51=Darl3_Laufzeit*12-1,(AA50+AB47),0))</f>
        <v>2083.33333333333</v>
      </c>
      <c r="AC49" s="25" t="n">
        <f aca="false">IF(Darl3_Laufzeit&gt;Darl3_Frei,IF(AC51&gt;=Darl3_Frei*12,MIN(Darl3_Betrag/((Darl3_Laufzeit-Darl3_Frei)*12),(AB50+AC47)),0),IF(AC51=Darl3_Laufzeit*12-1,(AB50+AC47),0))</f>
        <v>2083.33333333333</v>
      </c>
      <c r="AD49" s="25" t="n">
        <f aca="false">IF(Darl3_Laufzeit&gt;Darl3_Frei,IF(AD51&gt;=Darl3_Frei*12,MIN(Darl3_Betrag/((Darl3_Laufzeit-Darl3_Frei)*12),(AC50+AD47)),0),IF(AD51=Darl3_Laufzeit*12-1,(AC50+AD47),0))</f>
        <v>2083.33333333333</v>
      </c>
      <c r="AE49" s="25" t="n">
        <f aca="false">IF(Darl3_Laufzeit&gt;Darl3_Frei,IF(AE51&gt;=Darl3_Frei*12,MIN(Darl3_Betrag/((Darl3_Laufzeit-Darl3_Frei)*12),(AD50+AE47)),0),IF(AE51=Darl3_Laufzeit*12-1,(AD50+AE47),0))</f>
        <v>2083.33333333333</v>
      </c>
      <c r="AF49" s="25" t="n">
        <f aca="false">IF(Darl3_Laufzeit&gt;Darl3_Frei,IF(AF51&gt;=Darl3_Frei*12,MIN(Darl3_Betrag/((Darl3_Laufzeit-Darl3_Frei)*12),(AE50+AF47)),0),IF(AF51=Darl3_Laufzeit*12-1,(AE50+AF47),0))</f>
        <v>2083.33333333333</v>
      </c>
      <c r="AG49" s="25" t="n">
        <f aca="false">IF(Darl3_Laufzeit&gt;Darl3_Frei,IF(AG51&gt;=Darl3_Frei*12,MIN(Darl3_Betrag/((Darl3_Laufzeit-Darl3_Frei)*12),(AF50+AG47)),0),IF(AG51=Darl3_Laufzeit*12-1,(AF50+AG47),0))</f>
        <v>2083.33333333333</v>
      </c>
      <c r="AH49" s="25" t="n">
        <f aca="false">IF(Darl3_Laufzeit&gt;Darl3_Frei,IF(AH51&gt;=Darl3_Frei*12,MIN(Darl3_Betrag/((Darl3_Laufzeit-Darl3_Frei)*12),(AG50+AH47)),0),IF(AH51=Darl3_Laufzeit*12-1,(AG50+AH47),0))</f>
        <v>2083.33333333333</v>
      </c>
      <c r="AI49" s="25" t="n">
        <f aca="false">IF(Darl3_Laufzeit&gt;Darl3_Frei,IF(AI51&gt;=Darl3_Frei*12,MIN(Darl3_Betrag/((Darl3_Laufzeit-Darl3_Frei)*12),(AH50+AI47)),0),IF(AI51=Darl3_Laufzeit*12-1,(AH50+AI47),0))</f>
        <v>2083.33333333333</v>
      </c>
      <c r="AJ49" s="25" t="n">
        <f aca="false">IF(Darl3_Laufzeit&gt;Darl3_Frei,IF(AJ51&gt;=Darl3_Frei*12,MIN(Darl3_Betrag/((Darl3_Laufzeit-Darl3_Frei)*12),(AI50+AJ47)),0),IF(AJ51=Darl3_Laufzeit*12-1,(AI50+AJ47),0))</f>
        <v>2083.33333333333</v>
      </c>
      <c r="AK49" s="25" t="n">
        <f aca="false">IF(Darl3_Laufzeit&gt;Darl3_Frei,IF(AK51&gt;=Darl3_Frei*12,MIN(Darl3_Betrag/((Darl3_Laufzeit-Darl3_Frei)*12),(AJ50+AK47)),0),IF(AK51=Darl3_Laufzeit*12-1,(AJ50+AK47),0))</f>
        <v>2083.33333333333</v>
      </c>
      <c r="AL49" s="25" t="n">
        <f aca="false">IF(Darl3_Laufzeit&gt;Darl3_Frei,IF(AL51&gt;=Darl3_Frei*12,MIN(Darl3_Betrag/((Darl3_Laufzeit-Darl3_Frei)*12),(AK50+AL47)),0),IF(AL51=Darl3_Laufzeit*12-1,(AK50+AL47),0))</f>
        <v>2083.33333333333</v>
      </c>
      <c r="AM49" s="25" t="n">
        <f aca="false">IF(Darl3_Laufzeit&gt;Darl3_Frei,IF(AM51&gt;=Darl3_Frei*12,MIN(Darl3_Betrag/((Darl3_Laufzeit-Darl3_Frei)*12),(AL50+AM47)),0),IF(AM51=Darl3_Laufzeit*12-1,(AL50+AM47),0))</f>
        <v>2083.33333333333</v>
      </c>
      <c r="AN49" s="25" t="n">
        <f aca="false">IF(Darl3_Laufzeit&gt;Darl3_Frei,IF(AN51&gt;=Darl3_Frei*12,MIN(Darl3_Betrag/((Darl3_Laufzeit-Darl3_Frei)*12),(AM50+AN47)),0),IF(AN51=Darl3_Laufzeit*12-1,(AM50+AN47),0))</f>
        <v>2083.33333333333</v>
      </c>
      <c r="AO49" s="25" t="n">
        <f aca="false">IF(Darl3_Laufzeit&gt;Darl3_Frei,IF(AO51&gt;=Darl3_Frei*12,MIN(Darl3_Betrag/((Darl3_Laufzeit-Darl3_Frei)*12),(AN50+AO47)),0),IF(AO51=Darl3_Laufzeit*12-1,(AN50+AO47),0))</f>
        <v>2083.33333333333</v>
      </c>
      <c r="AP49" s="25" t="n">
        <f aca="false">IF(Darl3_Laufzeit&gt;Darl3_Frei,IF(AP51&gt;=Darl3_Frei*12,MIN(Darl3_Betrag/((Darl3_Laufzeit-Darl3_Frei)*12),(AO50+AP47)),0),IF(AP51=Darl3_Laufzeit*12-1,(AO50+AP47),0))</f>
        <v>2083.33333333333</v>
      </c>
      <c r="AQ49" s="25" t="n">
        <f aca="false">IF(Darl3_Laufzeit&gt;Darl3_Frei,IF(AQ51&gt;=Darl3_Frei*12,MIN(Darl3_Betrag/((Darl3_Laufzeit-Darl3_Frei)*12),(AP50+AQ47)),0),IF(AQ51=Darl3_Laufzeit*12-1,(AP50+AQ47),0))</f>
        <v>2083.33333333333</v>
      </c>
      <c r="AR49" s="25" t="n">
        <f aca="false">IF(Darl3_Laufzeit&gt;Darl3_Frei,IF(AR51&gt;=Darl3_Frei*12,MIN(Darl3_Betrag/((Darl3_Laufzeit-Darl3_Frei)*12),(AQ50+AR47)),0),IF(AR51=Darl3_Laufzeit*12-1,(AQ50+AR47),0))</f>
        <v>2083.33333333333</v>
      </c>
      <c r="AS49" s="25" t="n">
        <f aca="false">IF(Darl3_Laufzeit&gt;Darl3_Frei,IF(AS51&gt;=Darl3_Frei*12,MIN(Darl3_Betrag/((Darl3_Laufzeit-Darl3_Frei)*12),(AR50+AS47)),0),IF(AS51=Darl3_Laufzeit*12-1,(AR50+AS47),0))</f>
        <v>2083.33333333333</v>
      </c>
      <c r="AT49" s="25" t="n">
        <f aca="false">IF(Darl3_Laufzeit&gt;Darl3_Frei,IF(AT51&gt;=Darl3_Frei*12,MIN(Darl3_Betrag/((Darl3_Laufzeit-Darl3_Frei)*12),(AS50+AT47)),0),IF(AT51=Darl3_Laufzeit*12-1,(AS50+AT47),0))</f>
        <v>2083.33333333333</v>
      </c>
      <c r="AU49" s="25" t="n">
        <f aca="false">IF(Darl3_Laufzeit&gt;Darl3_Frei,IF(AU51&gt;=Darl3_Frei*12,MIN(Darl3_Betrag/((Darl3_Laufzeit-Darl3_Frei)*12),(AT50+AU47)),0),IF(AU51=Darl3_Laufzeit*12-1,(AT50+AU47),0))</f>
        <v>2083.33333333333</v>
      </c>
      <c r="AV49" s="25" t="n">
        <f aca="false">IF(Darl3_Laufzeit&gt;Darl3_Frei,IF(AV51&gt;=Darl3_Frei*12,MIN(Darl3_Betrag/((Darl3_Laufzeit-Darl3_Frei)*12),(AU50+AV47)),0),IF(AV51=Darl3_Laufzeit*12-1,(AU50+AV47),0))</f>
        <v>2083.33333333333</v>
      </c>
      <c r="AW49" s="25" t="n">
        <f aca="false">IF(Darl3_Laufzeit&gt;Darl3_Frei,IF(AW51&gt;=Darl3_Frei*12,MIN(Darl3_Betrag/((Darl3_Laufzeit-Darl3_Frei)*12),(AV50+AW47)),0),IF(AW51=Darl3_Laufzeit*12-1,(AV50+AW47),0))</f>
        <v>2083.33333333333</v>
      </c>
      <c r="AX49" s="25" t="n">
        <f aca="false">IF(Darl3_Laufzeit&gt;Darl3_Frei,IF(AX51&gt;=Darl3_Frei*12,MIN(Darl3_Betrag/((Darl3_Laufzeit-Darl3_Frei)*12),(AW50+AX47)),0),IF(AX51=Darl3_Laufzeit*12-1,(AW50+AX47),0))</f>
        <v>2083.33333333333</v>
      </c>
      <c r="AY49" s="25" t="n">
        <f aca="false">IF(Darl3_Laufzeit&gt;Darl3_Frei,IF(AY51&gt;=Darl3_Frei*12,MIN(Darl3_Betrag/((Darl3_Laufzeit-Darl3_Frei)*12),(AX50+AY47)),0),IF(AY51=Darl3_Laufzeit*12-1,(AX50+AY47),0))</f>
        <v>2083.33333333333</v>
      </c>
      <c r="AZ49" s="25" t="n">
        <f aca="false">IF(Darl3_Laufzeit&gt;Darl3_Frei,IF(AZ51&gt;=Darl3_Frei*12,MIN(Darl3_Betrag/((Darl3_Laufzeit-Darl3_Frei)*12),(AY50+AZ47)),0),IF(AZ51=Darl3_Laufzeit*12-1,(AY50+AZ47),0))</f>
        <v>2083.33333333333</v>
      </c>
      <c r="BA49" s="25" t="n">
        <f aca="false">IF(Darl3_Laufzeit&gt;Darl3_Frei,IF(BA51&gt;=Darl3_Frei*12,MIN(Darl3_Betrag/((Darl3_Laufzeit-Darl3_Frei)*12),(AZ50+BA47)),0),IF(BA51=Darl3_Laufzeit*12-1,(AZ50+BA47),0))</f>
        <v>2083.33333333333</v>
      </c>
      <c r="BB49" s="25" t="n">
        <f aca="false">IF(Darl3_Laufzeit&gt;Darl3_Frei,IF(BB51&gt;=Darl3_Frei*12,MIN(Darl3_Betrag/((Darl3_Laufzeit-Darl3_Frei)*12),(BA50+BB47)),0),IF(BB51=Darl3_Laufzeit*12-1,(BA50+BB47),0))</f>
        <v>2083.33333333333</v>
      </c>
      <c r="BC49" s="25" t="n">
        <f aca="false">IF(Darl3_Laufzeit&gt;Darl3_Frei,IF(BC51&gt;=Darl3_Frei*12,MIN(Darl3_Betrag/((Darl3_Laufzeit-Darl3_Frei)*12),(BB50+BC47)),0),IF(BC51=Darl3_Laufzeit*12-1,(BB50+BC47),0))</f>
        <v>2083.33333333333</v>
      </c>
      <c r="BD49" s="25" t="n">
        <f aca="false">IF(Darl3_Laufzeit&gt;Darl3_Frei,IF(BD51&gt;=Darl3_Frei*12,MIN(Darl3_Betrag/((Darl3_Laufzeit-Darl3_Frei)*12),(BC50+BD47)),0),IF(BD51=Darl3_Laufzeit*12-1,(BC50+BD47),0))</f>
        <v>2083.33333333333</v>
      </c>
      <c r="BE49" s="25" t="n">
        <f aca="false">IF(Darl3_Laufzeit&gt;Darl3_Frei,IF(BE51&gt;=Darl3_Frei*12,MIN(Darl3_Betrag/((Darl3_Laufzeit-Darl3_Frei)*12),(BD50+BE47)),0),IF(BE51=Darl3_Laufzeit*12-1,(BD50+BE47),0))</f>
        <v>2083.33333333333</v>
      </c>
      <c r="BF49" s="25" t="n">
        <f aca="false">IF(Darl3_Laufzeit&gt;Darl3_Frei,IF(BF51&gt;=Darl3_Frei*12,MIN(Darl3_Betrag/((Darl3_Laufzeit-Darl3_Frei)*12),(BE50+BF47)),0),IF(BF51=Darl3_Laufzeit*12-1,(BE50+BF47),0))</f>
        <v>2083.33333333333</v>
      </c>
      <c r="BG49" s="25" t="n">
        <f aca="false">IF(Darl3_Laufzeit&gt;Darl3_Frei,IF(BG51&gt;=Darl3_Frei*12,MIN(Darl3_Betrag/((Darl3_Laufzeit-Darl3_Frei)*12),(BF50+BG47)),0),IF(BG51=Darl3_Laufzeit*12-1,(BF50+BG47),0))</f>
        <v>2083.33333333333</v>
      </c>
      <c r="BH49" s="25" t="n">
        <f aca="false">IF(Darl3_Laufzeit&gt;Darl3_Frei,IF(BH51&gt;=Darl3_Frei*12,MIN(Darl3_Betrag/((Darl3_Laufzeit-Darl3_Frei)*12),(BG50+BH47)),0),IF(BH51=Darl3_Laufzeit*12-1,(BG50+BH47),0))</f>
        <v>2083.33333333333</v>
      </c>
      <c r="BI49" s="25" t="n">
        <f aca="false">IF(Darl3_Laufzeit&gt;Darl3_Frei,IF(BI51&gt;=Darl3_Frei*12,MIN(Darl3_Betrag/((Darl3_Laufzeit-Darl3_Frei)*12),(BH50+BI47)),0),IF(BI51=Darl3_Laufzeit*12-1,(BH50+BI47),0))</f>
        <v>2083.33333333333</v>
      </c>
      <c r="BJ49" s="25" t="n">
        <f aca="false">IF(Darl3_Laufzeit&gt;Darl3_Frei,IF(BJ51&gt;=Darl3_Frei*12,MIN(Darl3_Betrag/((Darl3_Laufzeit-Darl3_Frei)*12),(BI50+BJ47)),0),IF(BJ51=Darl3_Laufzeit*12-1,(BI50+BJ47),0))</f>
        <v>2083.33333333333</v>
      </c>
      <c r="BK49" s="25" t="n">
        <f aca="false">IF(Darl3_Laufzeit&gt;Darl3_Frei,IF(BK51&gt;=Darl3_Frei*12,MIN(Darl3_Betrag/((Darl3_Laufzeit-Darl3_Frei)*12),(BJ50+BK47)),0),IF(BK51=Darl3_Laufzeit*12-1,(BJ50+BK47),0))</f>
        <v>2083.33333333333</v>
      </c>
      <c r="BL49" s="25" t="n">
        <f aca="false">IF(Darl3_Laufzeit&gt;Darl3_Frei,IF(BL51&gt;=Darl3_Frei*12,MIN(Darl3_Betrag/((Darl3_Laufzeit-Darl3_Frei)*12),(BK50+BL47)),0),IF(BL51=Darl3_Laufzeit*12-1,(BK50+BL47),0))</f>
        <v>2083.33333333333</v>
      </c>
      <c r="BM49" s="25" t="n">
        <f aca="false">IF(Darl3_Laufzeit&gt;Darl3_Frei,IF(BM51&gt;=Darl3_Frei*12,MIN(Darl3_Betrag/((Darl3_Laufzeit-Darl3_Frei)*12),(BL50+BM47)),0),IF(BM51=Darl3_Laufzeit*12-1,(BL50+BM47),0))</f>
        <v>2083.33333333333</v>
      </c>
      <c r="BN49" s="25" t="n">
        <f aca="false">IF(Darl3_Laufzeit&gt;Darl3_Frei,IF(BN51&gt;=Darl3_Frei*12,MIN(Darl3_Betrag/((Darl3_Laufzeit-Darl3_Frei)*12),(BM50+BN47)),0),IF(BN51=Darl3_Laufzeit*12-1,(BM50+BN47),0))</f>
        <v>2083.33333333333</v>
      </c>
      <c r="BO49" s="25" t="n">
        <f aca="false">IF(Darl3_Laufzeit&gt;Darl3_Frei,IF(BO51&gt;=Darl3_Frei*12,MIN(Darl3_Betrag/((Darl3_Laufzeit-Darl3_Frei)*12),(BN50+BO47)),0),IF(BO51=Darl3_Laufzeit*12-1,(BN50+BO47),0))</f>
        <v>2083.33333333333</v>
      </c>
    </row>
    <row r="50" customFormat="false" ht="15" hidden="false" customHeight="false" outlineLevel="0" collapsed="false">
      <c r="B50" s="2" t="s">
        <v>416</v>
      </c>
      <c r="C50" s="25" t="n">
        <f aca="false">(C47)-C49</f>
        <v>0</v>
      </c>
      <c r="D50" s="25" t="n">
        <f aca="false">(C50+D47)-D49</f>
        <v>200000</v>
      </c>
      <c r="E50" s="25" t="n">
        <f aca="false">(D50+E47)-E49</f>
        <v>200000</v>
      </c>
      <c r="F50" s="25" t="n">
        <f aca="false">(E50+F47)-F49</f>
        <v>200000</v>
      </c>
      <c r="G50" s="25" t="n">
        <f aca="false">(F50+G47)-G49</f>
        <v>200000</v>
      </c>
      <c r="H50" s="25" t="n">
        <f aca="false">(G50+H47)-H49</f>
        <v>200000</v>
      </c>
      <c r="I50" s="25" t="n">
        <f aca="false">(H50+I47)-I49</f>
        <v>200000</v>
      </c>
      <c r="J50" s="25" t="n">
        <f aca="false">(I50+J47)-J49</f>
        <v>200000</v>
      </c>
      <c r="K50" s="25" t="n">
        <f aca="false">(J50+K47)-K49</f>
        <v>200000</v>
      </c>
      <c r="L50" s="25" t="n">
        <f aca="false">(K50+L47)-L49</f>
        <v>200000</v>
      </c>
      <c r="M50" s="25" t="n">
        <f aca="false">(L50+M47)-M49</f>
        <v>200000</v>
      </c>
      <c r="N50" s="25" t="n">
        <f aca="false">(M50+N47)-N49</f>
        <v>200000</v>
      </c>
      <c r="O50" s="25" t="n">
        <f aca="false">(N50+O47)-O49</f>
        <v>200000</v>
      </c>
      <c r="P50" s="25" t="n">
        <f aca="false">(O50+P47)-P49</f>
        <v>200000</v>
      </c>
      <c r="Q50" s="25" t="n">
        <f aca="false">(P50+Q47)-Q49</f>
        <v>200000</v>
      </c>
      <c r="R50" s="25" t="n">
        <f aca="false">(Q50+R47)-R49</f>
        <v>200000</v>
      </c>
      <c r="S50" s="25" t="n">
        <f aca="false">(R50+S47)-S49</f>
        <v>200000</v>
      </c>
      <c r="T50" s="25" t="n">
        <f aca="false">(S50+T47)-T49</f>
        <v>200000</v>
      </c>
      <c r="U50" s="25" t="n">
        <f aca="false">(T50+U47)-U49</f>
        <v>200000</v>
      </c>
      <c r="V50" s="25" t="n">
        <f aca="false">(U50+V47)-V49</f>
        <v>200000</v>
      </c>
      <c r="W50" s="25" t="n">
        <f aca="false">(V50+W47)-W49</f>
        <v>200000</v>
      </c>
      <c r="X50" s="25" t="n">
        <f aca="false">(W50+X47)-X49</f>
        <v>200000</v>
      </c>
      <c r="Y50" s="25" t="n">
        <f aca="false">(X50+Y47)-Y49</f>
        <v>200000</v>
      </c>
      <c r="Z50" s="25" t="n">
        <f aca="false">(Y50+Z47)-Z49</f>
        <v>200000</v>
      </c>
      <c r="AA50" s="25" t="n">
        <f aca="false">(Z50+AA47)-AA49</f>
        <v>200000</v>
      </c>
      <c r="AB50" s="25" t="n">
        <f aca="false">(AA50+AB47)-AB49</f>
        <v>197916.666666667</v>
      </c>
      <c r="AC50" s="25" t="n">
        <f aca="false">(AB50+AC47)-AC49</f>
        <v>195833.333333333</v>
      </c>
      <c r="AD50" s="25" t="n">
        <f aca="false">(AC50+AD47)-AD49</f>
        <v>193750</v>
      </c>
      <c r="AE50" s="25" t="n">
        <f aca="false">(AD50+AE47)-AE49</f>
        <v>191666.666666667</v>
      </c>
      <c r="AF50" s="25" t="n">
        <f aca="false">(AE50+AF47)-AF49</f>
        <v>189583.333333333</v>
      </c>
      <c r="AG50" s="25" t="n">
        <f aca="false">(AF50+AG47)-AG49</f>
        <v>187500</v>
      </c>
      <c r="AH50" s="25" t="n">
        <f aca="false">(AG50+AH47)-AH49</f>
        <v>185416.666666667</v>
      </c>
      <c r="AI50" s="25" t="n">
        <f aca="false">(AH50+AI47)-AI49</f>
        <v>183333.333333333</v>
      </c>
      <c r="AJ50" s="25" t="n">
        <f aca="false">(AI50+AJ47)-AJ49</f>
        <v>181250</v>
      </c>
      <c r="AK50" s="25" t="n">
        <f aca="false">(AJ50+AK47)-AK49</f>
        <v>179166.666666667</v>
      </c>
      <c r="AL50" s="25" t="n">
        <f aca="false">(AK50+AL47)-AL49</f>
        <v>177083.333333333</v>
      </c>
      <c r="AM50" s="25" t="n">
        <f aca="false">(AL50+AM47)-AM49</f>
        <v>175000</v>
      </c>
      <c r="AN50" s="25" t="n">
        <f aca="false">(AM50+AN47)-AN49</f>
        <v>172916.666666667</v>
      </c>
      <c r="AO50" s="25" t="n">
        <f aca="false">(AN50+AO47)-AO49</f>
        <v>170833.333333333</v>
      </c>
      <c r="AP50" s="25" t="n">
        <f aca="false">(AO50+AP47)-AP49</f>
        <v>168750</v>
      </c>
      <c r="AQ50" s="25" t="n">
        <f aca="false">(AP50+AQ47)-AQ49</f>
        <v>166666.666666667</v>
      </c>
      <c r="AR50" s="25" t="n">
        <f aca="false">(AQ50+AR47)-AR49</f>
        <v>164583.333333333</v>
      </c>
      <c r="AS50" s="25" t="n">
        <f aca="false">(AR50+AS47)-AS49</f>
        <v>162500</v>
      </c>
      <c r="AT50" s="25" t="n">
        <f aca="false">(AS50+AT47)-AT49</f>
        <v>160416.666666666</v>
      </c>
      <c r="AU50" s="25" t="n">
        <f aca="false">(AT50+AU47)-AU49</f>
        <v>158333.333333333</v>
      </c>
      <c r="AV50" s="25" t="n">
        <f aca="false">(AU50+AV47)-AV49</f>
        <v>156250</v>
      </c>
      <c r="AW50" s="25" t="n">
        <f aca="false">(AV50+AW47)-AW49</f>
        <v>154166.666666666</v>
      </c>
      <c r="AX50" s="25" t="n">
        <f aca="false">(AW50+AX47)-AX49</f>
        <v>152083.333333333</v>
      </c>
      <c r="AY50" s="25" t="n">
        <f aca="false">(AX50+AY47)-AY49</f>
        <v>150000</v>
      </c>
      <c r="AZ50" s="25" t="n">
        <f aca="false">(AY50+AZ47)-AZ49</f>
        <v>147916.666666666</v>
      </c>
      <c r="BA50" s="25" t="n">
        <f aca="false">(AZ50+BA47)-BA49</f>
        <v>145833.333333333</v>
      </c>
      <c r="BB50" s="25" t="n">
        <f aca="false">(BA50+BB47)-BB49</f>
        <v>143750</v>
      </c>
      <c r="BC50" s="25" t="n">
        <f aca="false">(BB50+BC47)-BC49</f>
        <v>141666.666666666</v>
      </c>
      <c r="BD50" s="25" t="n">
        <f aca="false">(BC50+BD47)-BD49</f>
        <v>139583.333333333</v>
      </c>
      <c r="BE50" s="25" t="n">
        <f aca="false">(BD50+BE47)-BE49</f>
        <v>137500</v>
      </c>
      <c r="BF50" s="25" t="n">
        <f aca="false">(BE50+BF47)-BF49</f>
        <v>135416.666666666</v>
      </c>
      <c r="BG50" s="25" t="n">
        <f aca="false">(BF50+BG47)-BG49</f>
        <v>133333.333333333</v>
      </c>
      <c r="BH50" s="25" t="n">
        <f aca="false">(BG50+BH47)-BH49</f>
        <v>131250</v>
      </c>
      <c r="BI50" s="25" t="n">
        <f aca="false">(BH50+BI47)-BI49</f>
        <v>129166.666666666</v>
      </c>
      <c r="BJ50" s="25" t="n">
        <f aca="false">(BI50+BJ47)-BJ49</f>
        <v>127083.333333333</v>
      </c>
      <c r="BK50" s="25" t="n">
        <f aca="false">(BJ50+BK47)-BK49</f>
        <v>125000</v>
      </c>
      <c r="BL50" s="25" t="n">
        <f aca="false">(BK50+BL47)-BL49</f>
        <v>122916.666666666</v>
      </c>
      <c r="BM50" s="25" t="n">
        <f aca="false">(BL50+BM47)-BM49</f>
        <v>120833.333333333</v>
      </c>
      <c r="BN50" s="25" t="n">
        <f aca="false">(BM50+BN47)-BN49</f>
        <v>118750</v>
      </c>
      <c r="BO50" s="25" t="n">
        <f aca="false">(BN50+BO47)-BO49</f>
        <v>116666.666666666</v>
      </c>
    </row>
    <row r="51" customFormat="false" ht="15" hidden="false" customHeight="false" outlineLevel="0" collapsed="false">
      <c r="B51" s="2" t="s">
        <v>417</v>
      </c>
      <c r="C51" s="36" t="n">
        <f aca="false">C$30-MATCH(Darl3_Auszahlung,Fz_Monat,0)</f>
        <v>-1</v>
      </c>
      <c r="D51" s="36" t="n">
        <f aca="false">D$30-MATCH(Darl3_Auszahlung,Fz_Monat,0)</f>
        <v>0</v>
      </c>
      <c r="E51" s="36" t="n">
        <f aca="false">E$30-MATCH(Darl3_Auszahlung,Fz_Monat,0)</f>
        <v>1</v>
      </c>
      <c r="F51" s="36" t="n">
        <f aca="false">F$30-MATCH(Darl3_Auszahlung,Fz_Monat,0)</f>
        <v>2</v>
      </c>
      <c r="G51" s="36" t="n">
        <f aca="false">G$30-MATCH(Darl3_Auszahlung,Fz_Monat,0)</f>
        <v>3</v>
      </c>
      <c r="H51" s="36" t="n">
        <f aca="false">H$30-MATCH(Darl3_Auszahlung,Fz_Monat,0)</f>
        <v>4</v>
      </c>
      <c r="I51" s="36" t="n">
        <f aca="false">I$30-MATCH(Darl3_Auszahlung,Fz_Monat,0)</f>
        <v>5</v>
      </c>
      <c r="J51" s="36" t="n">
        <f aca="false">J$30-MATCH(Darl3_Auszahlung,Fz_Monat,0)</f>
        <v>6</v>
      </c>
      <c r="K51" s="36" t="n">
        <f aca="false">K$30-MATCH(Darl3_Auszahlung,Fz_Monat,0)</f>
        <v>7</v>
      </c>
      <c r="L51" s="36" t="n">
        <f aca="false">L$30-MATCH(Darl3_Auszahlung,Fz_Monat,0)</f>
        <v>8</v>
      </c>
      <c r="M51" s="36" t="n">
        <f aca="false">M$30-MATCH(Darl3_Auszahlung,Fz_Monat,0)</f>
        <v>9</v>
      </c>
      <c r="N51" s="36" t="n">
        <f aca="false">N$30-MATCH(Darl3_Auszahlung,Fz_Monat,0)</f>
        <v>10</v>
      </c>
      <c r="O51" s="36" t="n">
        <f aca="false">O$30-MATCH(Darl3_Auszahlung,Fz_Monat,0)</f>
        <v>11</v>
      </c>
      <c r="P51" s="36" t="n">
        <f aca="false">P$30-MATCH(Darl3_Auszahlung,Fz_Monat,0)</f>
        <v>12</v>
      </c>
      <c r="Q51" s="36" t="n">
        <f aca="false">Q$30-MATCH(Darl3_Auszahlung,Fz_Monat,0)</f>
        <v>13</v>
      </c>
      <c r="R51" s="36" t="n">
        <f aca="false">R$30-MATCH(Darl3_Auszahlung,Fz_Monat,0)</f>
        <v>14</v>
      </c>
      <c r="S51" s="36" t="n">
        <f aca="false">S$30-MATCH(Darl3_Auszahlung,Fz_Monat,0)</f>
        <v>15</v>
      </c>
      <c r="T51" s="36" t="n">
        <f aca="false">T$30-MATCH(Darl3_Auszahlung,Fz_Monat,0)</f>
        <v>16</v>
      </c>
      <c r="U51" s="36" t="n">
        <f aca="false">U$30-MATCH(Darl3_Auszahlung,Fz_Monat,0)</f>
        <v>17</v>
      </c>
      <c r="V51" s="36" t="n">
        <f aca="false">V$30-MATCH(Darl3_Auszahlung,Fz_Monat,0)</f>
        <v>18</v>
      </c>
      <c r="W51" s="36" t="n">
        <f aca="false">W$30-MATCH(Darl3_Auszahlung,Fz_Monat,0)</f>
        <v>19</v>
      </c>
      <c r="X51" s="36" t="n">
        <f aca="false">X$30-MATCH(Darl3_Auszahlung,Fz_Monat,0)</f>
        <v>20</v>
      </c>
      <c r="Y51" s="36" t="n">
        <f aca="false">Y$30-MATCH(Darl3_Auszahlung,Fz_Monat,0)</f>
        <v>21</v>
      </c>
      <c r="Z51" s="36" t="n">
        <f aca="false">Z$30-MATCH(Darl3_Auszahlung,Fz_Monat,0)</f>
        <v>22</v>
      </c>
      <c r="AA51" s="36" t="n">
        <f aca="false">AA$30-MATCH(Darl3_Auszahlung,Fz_Monat,0)</f>
        <v>23</v>
      </c>
      <c r="AB51" s="36" t="n">
        <f aca="false">AB$30-MATCH(Darl3_Auszahlung,Fz_Monat,0)</f>
        <v>24</v>
      </c>
      <c r="AC51" s="36" t="n">
        <f aca="false">AC$30-MATCH(Darl3_Auszahlung,Fz_Monat,0)</f>
        <v>25</v>
      </c>
      <c r="AD51" s="36" t="n">
        <f aca="false">AD$30-MATCH(Darl3_Auszahlung,Fz_Monat,0)</f>
        <v>26</v>
      </c>
      <c r="AE51" s="36" t="n">
        <f aca="false">AE$30-MATCH(Darl3_Auszahlung,Fz_Monat,0)</f>
        <v>27</v>
      </c>
      <c r="AF51" s="36" t="n">
        <f aca="false">AF$30-MATCH(Darl3_Auszahlung,Fz_Monat,0)</f>
        <v>28</v>
      </c>
      <c r="AG51" s="36" t="n">
        <f aca="false">AG$30-MATCH(Darl3_Auszahlung,Fz_Monat,0)</f>
        <v>29</v>
      </c>
      <c r="AH51" s="36" t="n">
        <f aca="false">AH$30-MATCH(Darl3_Auszahlung,Fz_Monat,0)</f>
        <v>30</v>
      </c>
      <c r="AI51" s="36" t="n">
        <f aca="false">AI$30-MATCH(Darl3_Auszahlung,Fz_Monat,0)</f>
        <v>31</v>
      </c>
      <c r="AJ51" s="36" t="n">
        <f aca="false">AJ$30-MATCH(Darl3_Auszahlung,Fz_Monat,0)</f>
        <v>32</v>
      </c>
      <c r="AK51" s="36" t="n">
        <f aca="false">AK$30-MATCH(Darl3_Auszahlung,Fz_Monat,0)</f>
        <v>33</v>
      </c>
      <c r="AL51" s="36" t="n">
        <f aca="false">AL$30-MATCH(Darl3_Auszahlung,Fz_Monat,0)</f>
        <v>34</v>
      </c>
      <c r="AM51" s="36" t="n">
        <f aca="false">AM$30-MATCH(Darl3_Auszahlung,Fz_Monat,0)</f>
        <v>35</v>
      </c>
      <c r="AN51" s="36" t="n">
        <f aca="false">AN$30-MATCH(Darl3_Auszahlung,Fz_Monat,0)</f>
        <v>36</v>
      </c>
      <c r="AO51" s="36" t="n">
        <f aca="false">AO$30-MATCH(Darl3_Auszahlung,Fz_Monat,0)</f>
        <v>37</v>
      </c>
      <c r="AP51" s="36" t="n">
        <f aca="false">AP$30-MATCH(Darl3_Auszahlung,Fz_Monat,0)</f>
        <v>38</v>
      </c>
      <c r="AQ51" s="36" t="n">
        <f aca="false">AQ$30-MATCH(Darl3_Auszahlung,Fz_Monat,0)</f>
        <v>39</v>
      </c>
      <c r="AR51" s="36" t="n">
        <f aca="false">AR$30-MATCH(Darl3_Auszahlung,Fz_Monat,0)</f>
        <v>40</v>
      </c>
      <c r="AS51" s="36" t="n">
        <f aca="false">AS$30-MATCH(Darl3_Auszahlung,Fz_Monat,0)</f>
        <v>41</v>
      </c>
      <c r="AT51" s="36" t="n">
        <f aca="false">AT$30-MATCH(Darl3_Auszahlung,Fz_Monat,0)</f>
        <v>42</v>
      </c>
      <c r="AU51" s="36" t="n">
        <f aca="false">AU$30-MATCH(Darl3_Auszahlung,Fz_Monat,0)</f>
        <v>43</v>
      </c>
      <c r="AV51" s="36" t="n">
        <f aca="false">AV$30-MATCH(Darl3_Auszahlung,Fz_Monat,0)</f>
        <v>44</v>
      </c>
      <c r="AW51" s="36" t="n">
        <f aca="false">AW$30-MATCH(Darl3_Auszahlung,Fz_Monat,0)</f>
        <v>45</v>
      </c>
      <c r="AX51" s="36" t="n">
        <f aca="false">AX$30-MATCH(Darl3_Auszahlung,Fz_Monat,0)</f>
        <v>46</v>
      </c>
      <c r="AY51" s="36" t="n">
        <f aca="false">AY$30-MATCH(Darl3_Auszahlung,Fz_Monat,0)</f>
        <v>47</v>
      </c>
      <c r="AZ51" s="36" t="n">
        <f aca="false">AZ$30-MATCH(Darl3_Auszahlung,Fz_Monat,0)</f>
        <v>48</v>
      </c>
      <c r="BA51" s="36" t="n">
        <f aca="false">BA$30-MATCH(Darl3_Auszahlung,Fz_Monat,0)</f>
        <v>49</v>
      </c>
      <c r="BB51" s="36" t="n">
        <f aca="false">BB$30-MATCH(Darl3_Auszahlung,Fz_Monat,0)</f>
        <v>50</v>
      </c>
      <c r="BC51" s="36" t="n">
        <f aca="false">BC$30-MATCH(Darl3_Auszahlung,Fz_Monat,0)</f>
        <v>51</v>
      </c>
      <c r="BD51" s="36" t="n">
        <f aca="false">BD$30-MATCH(Darl3_Auszahlung,Fz_Monat,0)</f>
        <v>52</v>
      </c>
      <c r="BE51" s="36" t="n">
        <f aca="false">BE$30-MATCH(Darl3_Auszahlung,Fz_Monat,0)</f>
        <v>53</v>
      </c>
      <c r="BF51" s="36" t="n">
        <f aca="false">BF$30-MATCH(Darl3_Auszahlung,Fz_Monat,0)</f>
        <v>54</v>
      </c>
      <c r="BG51" s="36" t="n">
        <f aca="false">BG$30-MATCH(Darl3_Auszahlung,Fz_Monat,0)</f>
        <v>55</v>
      </c>
      <c r="BH51" s="36" t="n">
        <f aca="false">BH$30-MATCH(Darl3_Auszahlung,Fz_Monat,0)</f>
        <v>56</v>
      </c>
      <c r="BI51" s="36" t="n">
        <f aca="false">BI$30-MATCH(Darl3_Auszahlung,Fz_Monat,0)</f>
        <v>57</v>
      </c>
      <c r="BJ51" s="36" t="n">
        <f aca="false">BJ$30-MATCH(Darl3_Auszahlung,Fz_Monat,0)</f>
        <v>58</v>
      </c>
      <c r="BK51" s="36" t="n">
        <f aca="false">BK$30-MATCH(Darl3_Auszahlung,Fz_Monat,0)</f>
        <v>59</v>
      </c>
      <c r="BL51" s="36" t="n">
        <f aca="false">BL$30-MATCH(Darl3_Auszahlung,Fz_Monat,0)</f>
        <v>60</v>
      </c>
      <c r="BM51" s="36" t="n">
        <f aca="false">BM$30-MATCH(Darl3_Auszahlung,Fz_Monat,0)</f>
        <v>61</v>
      </c>
      <c r="BN51" s="36" t="n">
        <f aca="false">BN$30-MATCH(Darl3_Auszahlung,Fz_Monat,0)</f>
        <v>62</v>
      </c>
      <c r="BO51" s="36" t="n">
        <f aca="false">BO$30-MATCH(Darl3_Auszahlung,Fz_Monat,0)</f>
        <v>63</v>
      </c>
    </row>
    <row r="53" customFormat="false" ht="15" hidden="false" customHeight="false" outlineLevel="0" collapsed="false">
      <c r="B53" s="6" t="str">
        <f aca="false">Darl4_Name</f>
        <v>L-Bank Gründungsfinanzierung (GuW-BW) über Hausbank, 80 % Bürgschaft Bürgschaftsbank BW (Restfinanzierung)</v>
      </c>
    </row>
    <row r="54" customFormat="false" ht="15" hidden="false" customHeight="false" outlineLevel="0" collapsed="false">
      <c r="B54" s="2" t="s">
        <v>413</v>
      </c>
      <c r="C54" s="25" t="n">
        <f aca="false">IF(C$28=Darl4_Auszahlung,Darl4_Betrag,0)</f>
        <v>0</v>
      </c>
      <c r="D54" s="25" t="n">
        <f aca="false">IF(D$28=Darl4_Auszahlung,Darl4_Betrag,0)</f>
        <v>0</v>
      </c>
      <c r="E54" s="25" t="n">
        <f aca="false">IF(E$28=Darl4_Auszahlung,Darl4_Betrag,0)</f>
        <v>1522583</v>
      </c>
      <c r="F54" s="25" t="n">
        <f aca="false">IF(F$28=Darl4_Auszahlung,Darl4_Betrag,0)</f>
        <v>0</v>
      </c>
      <c r="G54" s="25" t="n">
        <f aca="false">IF(G$28=Darl4_Auszahlung,Darl4_Betrag,0)</f>
        <v>0</v>
      </c>
      <c r="H54" s="25" t="n">
        <f aca="false">IF(H$28=Darl4_Auszahlung,Darl4_Betrag,0)</f>
        <v>0</v>
      </c>
      <c r="I54" s="25" t="n">
        <f aca="false">IF(I$28=Darl4_Auszahlung,Darl4_Betrag,0)</f>
        <v>0</v>
      </c>
      <c r="J54" s="25" t="n">
        <f aca="false">IF(J$28=Darl4_Auszahlung,Darl4_Betrag,0)</f>
        <v>0</v>
      </c>
      <c r="K54" s="25" t="n">
        <f aca="false">IF(K$28=Darl4_Auszahlung,Darl4_Betrag,0)</f>
        <v>0</v>
      </c>
      <c r="L54" s="25" t="n">
        <f aca="false">IF(L$28=Darl4_Auszahlung,Darl4_Betrag,0)</f>
        <v>0</v>
      </c>
      <c r="M54" s="25" t="n">
        <f aca="false">IF(M$28=Darl4_Auszahlung,Darl4_Betrag,0)</f>
        <v>0</v>
      </c>
      <c r="N54" s="25" t="n">
        <f aca="false">IF(N$28=Darl4_Auszahlung,Darl4_Betrag,0)</f>
        <v>0</v>
      </c>
      <c r="O54" s="25" t="n">
        <f aca="false">IF(O$28=Darl4_Auszahlung,Darl4_Betrag,0)</f>
        <v>0</v>
      </c>
      <c r="P54" s="25" t="n">
        <f aca="false">IF(P$28=Darl4_Auszahlung,Darl4_Betrag,0)</f>
        <v>0</v>
      </c>
      <c r="Q54" s="25" t="n">
        <f aca="false">IF(Q$28=Darl4_Auszahlung,Darl4_Betrag,0)</f>
        <v>0</v>
      </c>
      <c r="R54" s="25" t="n">
        <f aca="false">IF(R$28=Darl4_Auszahlung,Darl4_Betrag,0)</f>
        <v>0</v>
      </c>
      <c r="S54" s="25" t="n">
        <f aca="false">IF(S$28=Darl4_Auszahlung,Darl4_Betrag,0)</f>
        <v>0</v>
      </c>
      <c r="T54" s="25" t="n">
        <f aca="false">IF(T$28=Darl4_Auszahlung,Darl4_Betrag,0)</f>
        <v>0</v>
      </c>
      <c r="U54" s="25" t="n">
        <f aca="false">IF(U$28=Darl4_Auszahlung,Darl4_Betrag,0)</f>
        <v>0</v>
      </c>
      <c r="V54" s="25" t="n">
        <f aca="false">IF(V$28=Darl4_Auszahlung,Darl4_Betrag,0)</f>
        <v>0</v>
      </c>
      <c r="W54" s="25" t="n">
        <f aca="false">IF(W$28=Darl4_Auszahlung,Darl4_Betrag,0)</f>
        <v>0</v>
      </c>
      <c r="X54" s="25" t="n">
        <f aca="false">IF(X$28=Darl4_Auszahlung,Darl4_Betrag,0)</f>
        <v>0</v>
      </c>
      <c r="Y54" s="25" t="n">
        <f aca="false">IF(Y$28=Darl4_Auszahlung,Darl4_Betrag,0)</f>
        <v>0</v>
      </c>
      <c r="Z54" s="25" t="n">
        <f aca="false">IF(Z$28=Darl4_Auszahlung,Darl4_Betrag,0)</f>
        <v>0</v>
      </c>
      <c r="AA54" s="25" t="n">
        <f aca="false">IF(AA$28=Darl4_Auszahlung,Darl4_Betrag,0)</f>
        <v>0</v>
      </c>
      <c r="AB54" s="25" t="n">
        <f aca="false">IF(AB$28=Darl4_Auszahlung,Darl4_Betrag,0)</f>
        <v>0</v>
      </c>
      <c r="AC54" s="25" t="n">
        <f aca="false">IF(AC$28=Darl4_Auszahlung,Darl4_Betrag,0)</f>
        <v>0</v>
      </c>
      <c r="AD54" s="25" t="n">
        <f aca="false">IF(AD$28=Darl4_Auszahlung,Darl4_Betrag,0)</f>
        <v>0</v>
      </c>
      <c r="AE54" s="25" t="n">
        <f aca="false">IF(AE$28=Darl4_Auszahlung,Darl4_Betrag,0)</f>
        <v>0</v>
      </c>
      <c r="AF54" s="25" t="n">
        <f aca="false">IF(AF$28=Darl4_Auszahlung,Darl4_Betrag,0)</f>
        <v>0</v>
      </c>
      <c r="AG54" s="25" t="n">
        <f aca="false">IF(AG$28=Darl4_Auszahlung,Darl4_Betrag,0)</f>
        <v>0</v>
      </c>
      <c r="AH54" s="25" t="n">
        <f aca="false">IF(AH$28=Darl4_Auszahlung,Darl4_Betrag,0)</f>
        <v>0</v>
      </c>
      <c r="AI54" s="25" t="n">
        <f aca="false">IF(AI$28=Darl4_Auszahlung,Darl4_Betrag,0)</f>
        <v>0</v>
      </c>
      <c r="AJ54" s="25" t="n">
        <f aca="false">IF(AJ$28=Darl4_Auszahlung,Darl4_Betrag,0)</f>
        <v>0</v>
      </c>
      <c r="AK54" s="25" t="n">
        <f aca="false">IF(AK$28=Darl4_Auszahlung,Darl4_Betrag,0)</f>
        <v>0</v>
      </c>
      <c r="AL54" s="25" t="n">
        <f aca="false">IF(AL$28=Darl4_Auszahlung,Darl4_Betrag,0)</f>
        <v>0</v>
      </c>
      <c r="AM54" s="25" t="n">
        <f aca="false">IF(AM$28=Darl4_Auszahlung,Darl4_Betrag,0)</f>
        <v>0</v>
      </c>
      <c r="AN54" s="25" t="n">
        <f aca="false">IF(AN$28=Darl4_Auszahlung,Darl4_Betrag,0)</f>
        <v>0</v>
      </c>
      <c r="AO54" s="25" t="n">
        <f aca="false">IF(AO$28=Darl4_Auszahlung,Darl4_Betrag,0)</f>
        <v>0</v>
      </c>
      <c r="AP54" s="25" t="n">
        <f aca="false">IF(AP$28=Darl4_Auszahlung,Darl4_Betrag,0)</f>
        <v>0</v>
      </c>
      <c r="AQ54" s="25" t="n">
        <f aca="false">IF(AQ$28=Darl4_Auszahlung,Darl4_Betrag,0)</f>
        <v>0</v>
      </c>
      <c r="AR54" s="25" t="n">
        <f aca="false">IF(AR$28=Darl4_Auszahlung,Darl4_Betrag,0)</f>
        <v>0</v>
      </c>
      <c r="AS54" s="25" t="n">
        <f aca="false">IF(AS$28=Darl4_Auszahlung,Darl4_Betrag,0)</f>
        <v>0</v>
      </c>
      <c r="AT54" s="25" t="n">
        <f aca="false">IF(AT$28=Darl4_Auszahlung,Darl4_Betrag,0)</f>
        <v>0</v>
      </c>
      <c r="AU54" s="25" t="n">
        <f aca="false">IF(AU$28=Darl4_Auszahlung,Darl4_Betrag,0)</f>
        <v>0</v>
      </c>
      <c r="AV54" s="25" t="n">
        <f aca="false">IF(AV$28=Darl4_Auszahlung,Darl4_Betrag,0)</f>
        <v>0</v>
      </c>
      <c r="AW54" s="25" t="n">
        <f aca="false">IF(AW$28=Darl4_Auszahlung,Darl4_Betrag,0)</f>
        <v>0</v>
      </c>
      <c r="AX54" s="25" t="n">
        <f aca="false">IF(AX$28=Darl4_Auszahlung,Darl4_Betrag,0)</f>
        <v>0</v>
      </c>
      <c r="AY54" s="25" t="n">
        <f aca="false">IF(AY$28=Darl4_Auszahlung,Darl4_Betrag,0)</f>
        <v>0</v>
      </c>
      <c r="AZ54" s="25" t="n">
        <f aca="false">IF(AZ$28=Darl4_Auszahlung,Darl4_Betrag,0)</f>
        <v>0</v>
      </c>
      <c r="BA54" s="25" t="n">
        <f aca="false">IF(BA$28=Darl4_Auszahlung,Darl4_Betrag,0)</f>
        <v>0</v>
      </c>
      <c r="BB54" s="25" t="n">
        <f aca="false">IF(BB$28=Darl4_Auszahlung,Darl4_Betrag,0)</f>
        <v>0</v>
      </c>
      <c r="BC54" s="25" t="n">
        <f aca="false">IF(BC$28=Darl4_Auszahlung,Darl4_Betrag,0)</f>
        <v>0</v>
      </c>
      <c r="BD54" s="25" t="n">
        <f aca="false">IF(BD$28=Darl4_Auszahlung,Darl4_Betrag,0)</f>
        <v>0</v>
      </c>
      <c r="BE54" s="25" t="n">
        <f aca="false">IF(BE$28=Darl4_Auszahlung,Darl4_Betrag,0)</f>
        <v>0</v>
      </c>
      <c r="BF54" s="25" t="n">
        <f aca="false">IF(BF$28=Darl4_Auszahlung,Darl4_Betrag,0)</f>
        <v>0</v>
      </c>
      <c r="BG54" s="25" t="n">
        <f aca="false">IF(BG$28=Darl4_Auszahlung,Darl4_Betrag,0)</f>
        <v>0</v>
      </c>
      <c r="BH54" s="25" t="n">
        <f aca="false">IF(BH$28=Darl4_Auszahlung,Darl4_Betrag,0)</f>
        <v>0</v>
      </c>
      <c r="BI54" s="25" t="n">
        <f aca="false">IF(BI$28=Darl4_Auszahlung,Darl4_Betrag,0)</f>
        <v>0</v>
      </c>
      <c r="BJ54" s="25" t="n">
        <f aca="false">IF(BJ$28=Darl4_Auszahlung,Darl4_Betrag,0)</f>
        <v>0</v>
      </c>
      <c r="BK54" s="25" t="n">
        <f aca="false">IF(BK$28=Darl4_Auszahlung,Darl4_Betrag,0)</f>
        <v>0</v>
      </c>
      <c r="BL54" s="25" t="n">
        <f aca="false">IF(BL$28=Darl4_Auszahlung,Darl4_Betrag,0)</f>
        <v>0</v>
      </c>
      <c r="BM54" s="25" t="n">
        <f aca="false">IF(BM$28=Darl4_Auszahlung,Darl4_Betrag,0)</f>
        <v>0</v>
      </c>
      <c r="BN54" s="25" t="n">
        <f aca="false">IF(BN$28=Darl4_Auszahlung,Darl4_Betrag,0)</f>
        <v>0</v>
      </c>
      <c r="BO54" s="25" t="n">
        <f aca="false">IF(BO$28=Darl4_Auszahlung,Darl4_Betrag,0)</f>
        <v>0</v>
      </c>
    </row>
    <row r="55" customFormat="false" ht="15" hidden="false" customHeight="false" outlineLevel="0" collapsed="false">
      <c r="B55" s="2" t="s">
        <v>414</v>
      </c>
      <c r="C55" s="25" t="n">
        <f aca="false">IF(C58&gt;=0,(C54)*Darl4_Zins/12,0)</f>
        <v>0</v>
      </c>
      <c r="D55" s="25" t="n">
        <f aca="false">IF(D58&gt;=0,(C57+D54)*Darl4_Zins/12,0)</f>
        <v>0</v>
      </c>
      <c r="E55" s="25" t="n">
        <f aca="false">IF(E58&gt;=0,(D57+E54)*Darl4_Zins/12,0)</f>
        <v>8120.44266666667</v>
      </c>
      <c r="F55" s="25" t="n">
        <f aca="false">IF(F58&gt;=0,(E57+F54)*Darl4_Zins/12,0)</f>
        <v>8120.44266666667</v>
      </c>
      <c r="G55" s="25" t="n">
        <f aca="false">IF(G58&gt;=0,(F57+G54)*Darl4_Zins/12,0)</f>
        <v>8120.44266666667</v>
      </c>
      <c r="H55" s="25" t="n">
        <f aca="false">IF(H58&gt;=0,(G57+H54)*Darl4_Zins/12,0)</f>
        <v>8120.44266666667</v>
      </c>
      <c r="I55" s="25" t="n">
        <f aca="false">IF(I58&gt;=0,(H57+I54)*Darl4_Zins/12,0)</f>
        <v>8120.44266666667</v>
      </c>
      <c r="J55" s="25" t="n">
        <f aca="false">IF(J58&gt;=0,(I57+J54)*Darl4_Zins/12,0)</f>
        <v>8120.44266666667</v>
      </c>
      <c r="K55" s="25" t="n">
        <f aca="false">IF(K58&gt;=0,(J57+K54)*Darl4_Zins/12,0)</f>
        <v>8120.44266666667</v>
      </c>
      <c r="L55" s="25" t="n">
        <f aca="false">IF(L58&gt;=0,(K57+L54)*Darl4_Zins/12,0)</f>
        <v>8120.44266666667</v>
      </c>
      <c r="M55" s="25" t="n">
        <f aca="false">IF(M58&gt;=0,(L57+M54)*Darl4_Zins/12,0)</f>
        <v>8120.44266666667</v>
      </c>
      <c r="N55" s="25" t="n">
        <f aca="false">IF(N58&gt;=0,(M57+N54)*Darl4_Zins/12,0)</f>
        <v>8120.44266666667</v>
      </c>
      <c r="O55" s="25" t="n">
        <f aca="false">IF(O58&gt;=0,(N57+O54)*Darl4_Zins/12,0)</f>
        <v>8120.44266666667</v>
      </c>
      <c r="P55" s="25" t="n">
        <f aca="false">IF(P58&gt;=0,(O57+P54)*Darl4_Zins/12,0)</f>
        <v>8120.44266666667</v>
      </c>
      <c r="Q55" s="25" t="n">
        <f aca="false">IF(Q58&gt;=0,(P57+Q54)*Darl4_Zins/12,0)</f>
        <v>8120.44266666667</v>
      </c>
      <c r="R55" s="25" t="n">
        <f aca="false">IF(R58&gt;=0,(Q57+R54)*Darl4_Zins/12,0)</f>
        <v>8120.44266666667</v>
      </c>
      <c r="S55" s="25" t="n">
        <f aca="false">IF(S58&gt;=0,(R57+S54)*Darl4_Zins/12,0)</f>
        <v>8120.44266666667</v>
      </c>
      <c r="T55" s="25" t="n">
        <f aca="false">IF(T58&gt;=0,(S57+T54)*Darl4_Zins/12,0)</f>
        <v>8120.44266666667</v>
      </c>
      <c r="U55" s="25" t="n">
        <f aca="false">IF(U58&gt;=0,(T57+U54)*Darl4_Zins/12,0)</f>
        <v>8120.44266666667</v>
      </c>
      <c r="V55" s="25" t="n">
        <f aca="false">IF(V58&gt;=0,(U57+V54)*Darl4_Zins/12,0)</f>
        <v>8120.44266666667</v>
      </c>
      <c r="W55" s="25" t="n">
        <f aca="false">IF(W58&gt;=0,(V57+W54)*Darl4_Zins/12,0)</f>
        <v>8120.44266666667</v>
      </c>
      <c r="X55" s="25" t="n">
        <f aca="false">IF(X58&gt;=0,(W57+X54)*Darl4_Zins/12,0)</f>
        <v>8120.44266666667</v>
      </c>
      <c r="Y55" s="25" t="n">
        <f aca="false">IF(Y58&gt;=0,(X57+Y54)*Darl4_Zins/12,0)</f>
        <v>8120.44266666667</v>
      </c>
      <c r="Z55" s="25" t="n">
        <f aca="false">IF(Z58&gt;=0,(Y57+Z54)*Darl4_Zins/12,0)</f>
        <v>8120.44266666667</v>
      </c>
      <c r="AA55" s="25" t="n">
        <f aca="false">IF(AA58&gt;=0,(Z57+AA54)*Darl4_Zins/12,0)</f>
        <v>8120.44266666667</v>
      </c>
      <c r="AB55" s="25" t="n">
        <f aca="false">IF(AB58&gt;=0,(AA57+AB54)*Darl4_Zins/12,0)</f>
        <v>8120.44266666667</v>
      </c>
      <c r="AC55" s="25" t="n">
        <f aca="false">IF(AC58&gt;=0,(AB57+AC54)*Darl4_Zins/12,0)</f>
        <v>8120.44266666667</v>
      </c>
      <c r="AD55" s="25" t="n">
        <f aca="false">IF(AD58&gt;=0,(AC57+AD54)*Darl4_Zins/12,0)</f>
        <v>8120.44266666667</v>
      </c>
      <c r="AE55" s="25" t="n">
        <f aca="false">IF(AE58&gt;=0,(AD57+AE54)*Darl4_Zins/12,0)</f>
        <v>8120.44266666667</v>
      </c>
      <c r="AF55" s="25" t="n">
        <f aca="false">IF(AF58&gt;=0,(AE57+AF54)*Darl4_Zins/12,0)</f>
        <v>8120.44266666667</v>
      </c>
      <c r="AG55" s="25" t="n">
        <f aca="false">IF(AG58&gt;=0,(AF57+AG54)*Darl4_Zins/12,0)</f>
        <v>8120.44266666667</v>
      </c>
      <c r="AH55" s="25" t="n">
        <f aca="false">IF(AH58&gt;=0,(AG57+AH54)*Darl4_Zins/12,0)</f>
        <v>8120.44266666667</v>
      </c>
      <c r="AI55" s="25" t="n">
        <f aca="false">IF(AI58&gt;=0,(AH57+AI54)*Darl4_Zins/12,0)</f>
        <v>8120.44266666667</v>
      </c>
      <c r="AJ55" s="25" t="n">
        <f aca="false">IF(AJ58&gt;=0,(AI57+AJ54)*Darl4_Zins/12,0)</f>
        <v>8120.44266666667</v>
      </c>
      <c r="AK55" s="25" t="n">
        <f aca="false">IF(AK58&gt;=0,(AJ57+AK54)*Darl4_Zins/12,0)</f>
        <v>8120.44266666667</v>
      </c>
      <c r="AL55" s="25" t="n">
        <f aca="false">IF(AL58&gt;=0,(AK57+AL54)*Darl4_Zins/12,0)</f>
        <v>8120.44266666667</v>
      </c>
      <c r="AM55" s="25" t="n">
        <f aca="false">IF(AM58&gt;=0,(AL57+AM54)*Darl4_Zins/12,0)</f>
        <v>8120.44266666667</v>
      </c>
      <c r="AN55" s="25" t="n">
        <f aca="false">IF(AN58&gt;=0,(AM57+AN54)*Darl4_Zins/12,0)</f>
        <v>8120.44266666667</v>
      </c>
      <c r="AO55" s="25" t="n">
        <f aca="false">IF(AO58&gt;=0,(AN57+AO54)*Darl4_Zins/12,0)</f>
        <v>8120.44266666667</v>
      </c>
      <c r="AP55" s="25" t="n">
        <f aca="false">IF(AP58&gt;=0,(AO57+AP54)*Darl4_Zins/12,0)</f>
        <v>8080.6365751634</v>
      </c>
      <c r="AQ55" s="25" t="n">
        <f aca="false">IF(AQ58&gt;=0,(AP57+AQ54)*Darl4_Zins/12,0)</f>
        <v>8040.83048366013</v>
      </c>
      <c r="AR55" s="25" t="n">
        <f aca="false">IF(AR58&gt;=0,(AQ57+AR54)*Darl4_Zins/12,0)</f>
        <v>8001.02439215686</v>
      </c>
      <c r="AS55" s="25" t="n">
        <f aca="false">IF(AS58&gt;=0,(AR57+AS54)*Darl4_Zins/12,0)</f>
        <v>7961.2183006536</v>
      </c>
      <c r="AT55" s="25" t="n">
        <f aca="false">IF(AT58&gt;=0,(AS57+AT54)*Darl4_Zins/12,0)</f>
        <v>7921.41220915033</v>
      </c>
      <c r="AU55" s="25" t="n">
        <f aca="false">IF(AU58&gt;=0,(AT57+AU54)*Darl4_Zins/12,0)</f>
        <v>7881.60611764706</v>
      </c>
      <c r="AV55" s="25" t="n">
        <f aca="false">IF(AV58&gt;=0,(AU57+AV54)*Darl4_Zins/12,0)</f>
        <v>7841.8000261438</v>
      </c>
      <c r="AW55" s="25" t="n">
        <f aca="false">IF(AW58&gt;=0,(AV57+AW54)*Darl4_Zins/12,0)</f>
        <v>7801.99393464053</v>
      </c>
      <c r="AX55" s="25" t="n">
        <f aca="false">IF(AX58&gt;=0,(AW57+AX54)*Darl4_Zins/12,0)</f>
        <v>7762.18784313726</v>
      </c>
      <c r="AY55" s="25" t="n">
        <f aca="false">IF(AY58&gt;=0,(AX57+AY54)*Darl4_Zins/12,0)</f>
        <v>7722.38175163399</v>
      </c>
      <c r="AZ55" s="25" t="n">
        <f aca="false">IF(AZ58&gt;=0,(AY57+AZ54)*Darl4_Zins/12,0)</f>
        <v>7682.57566013073</v>
      </c>
      <c r="BA55" s="25" t="n">
        <f aca="false">IF(BA58&gt;=0,(AZ57+BA54)*Darl4_Zins/12,0)</f>
        <v>7642.76956862746</v>
      </c>
      <c r="BB55" s="25" t="n">
        <f aca="false">IF(BB58&gt;=0,(BA57+BB54)*Darl4_Zins/12,0)</f>
        <v>7602.96347712419</v>
      </c>
      <c r="BC55" s="25" t="n">
        <f aca="false">IF(BC58&gt;=0,(BB57+BC54)*Darl4_Zins/12,0)</f>
        <v>7563.15738562092</v>
      </c>
      <c r="BD55" s="25" t="n">
        <f aca="false">IF(BD58&gt;=0,(BC57+BD54)*Darl4_Zins/12,0)</f>
        <v>7523.35129411766</v>
      </c>
      <c r="BE55" s="25" t="n">
        <f aca="false">IF(BE58&gt;=0,(BD57+BE54)*Darl4_Zins/12,0)</f>
        <v>7483.54520261439</v>
      </c>
      <c r="BF55" s="25" t="n">
        <f aca="false">IF(BF58&gt;=0,(BE57+BF54)*Darl4_Zins/12,0)</f>
        <v>7443.73911111112</v>
      </c>
      <c r="BG55" s="25" t="n">
        <f aca="false">IF(BG58&gt;=0,(BF57+BG54)*Darl4_Zins/12,0)</f>
        <v>7403.93301960785</v>
      </c>
      <c r="BH55" s="25" t="n">
        <f aca="false">IF(BH58&gt;=0,(BG57+BH54)*Darl4_Zins/12,0)</f>
        <v>7364.12692810459</v>
      </c>
      <c r="BI55" s="25" t="n">
        <f aca="false">IF(BI58&gt;=0,(BH57+BI54)*Darl4_Zins/12,0)</f>
        <v>7324.32083660132</v>
      </c>
      <c r="BJ55" s="25" t="n">
        <f aca="false">IF(BJ58&gt;=0,(BI57+BJ54)*Darl4_Zins/12,0)</f>
        <v>7284.51474509805</v>
      </c>
      <c r="BK55" s="25" t="n">
        <f aca="false">IF(BK58&gt;=0,(BJ57+BK54)*Darl4_Zins/12,0)</f>
        <v>7244.70865359478</v>
      </c>
      <c r="BL55" s="25" t="n">
        <f aca="false">IF(BL58&gt;=0,(BK57+BL54)*Darl4_Zins/12,0)</f>
        <v>7204.90256209152</v>
      </c>
      <c r="BM55" s="25" t="n">
        <f aca="false">IF(BM58&gt;=0,(BL57+BM54)*Darl4_Zins/12,0)</f>
        <v>7165.09647058825</v>
      </c>
      <c r="BN55" s="25" t="n">
        <f aca="false">IF(BN58&gt;=0,(BM57+BN54)*Darl4_Zins/12,0)</f>
        <v>7125.29037908498</v>
      </c>
      <c r="BO55" s="25" t="n">
        <f aca="false">IF(BO58&gt;=0,(BN57+BO54)*Darl4_Zins/12,0)</f>
        <v>7085.48428758171</v>
      </c>
    </row>
    <row r="56" customFormat="false" ht="15" hidden="false" customHeight="false" outlineLevel="0" collapsed="false">
      <c r="B56" s="2" t="s">
        <v>415</v>
      </c>
      <c r="C56" s="25" t="n">
        <f aca="false">IF(Darl4_Laufzeit&gt;Darl4_Frei,IF(C58&gt;=Darl4_Frei*12,MIN(Darl4_Betrag/((Darl4_Laufzeit-Darl4_Frei)*12),(C54)),0),IF(C58=Darl4_Laufzeit*12-1,(C54),0))</f>
        <v>0</v>
      </c>
      <c r="D56" s="25" t="n">
        <f aca="false">IF(Darl4_Laufzeit&gt;Darl4_Frei,IF(D58&gt;=Darl4_Frei*12,MIN(Darl4_Betrag/((Darl4_Laufzeit-Darl4_Frei)*12),(C57+D54)),0),IF(D58=Darl4_Laufzeit*12-1,(C57+D54),0))</f>
        <v>0</v>
      </c>
      <c r="E56" s="25" t="n">
        <f aca="false">IF(Darl4_Laufzeit&gt;Darl4_Frei,IF(E58&gt;=Darl4_Frei*12,MIN(Darl4_Betrag/((Darl4_Laufzeit-Darl4_Frei)*12),(D57+E54)),0),IF(E58=Darl4_Laufzeit*12-1,(D57+E54),0))</f>
        <v>0</v>
      </c>
      <c r="F56" s="25" t="n">
        <f aca="false">IF(Darl4_Laufzeit&gt;Darl4_Frei,IF(F58&gt;=Darl4_Frei*12,MIN(Darl4_Betrag/((Darl4_Laufzeit-Darl4_Frei)*12),(E57+F54)),0),IF(F58=Darl4_Laufzeit*12-1,(E57+F54),0))</f>
        <v>0</v>
      </c>
      <c r="G56" s="25" t="n">
        <f aca="false">IF(Darl4_Laufzeit&gt;Darl4_Frei,IF(G58&gt;=Darl4_Frei*12,MIN(Darl4_Betrag/((Darl4_Laufzeit-Darl4_Frei)*12),(F57+G54)),0),IF(G58=Darl4_Laufzeit*12-1,(F57+G54),0))</f>
        <v>0</v>
      </c>
      <c r="H56" s="25" t="n">
        <f aca="false">IF(Darl4_Laufzeit&gt;Darl4_Frei,IF(H58&gt;=Darl4_Frei*12,MIN(Darl4_Betrag/((Darl4_Laufzeit-Darl4_Frei)*12),(G57+H54)),0),IF(H58=Darl4_Laufzeit*12-1,(G57+H54),0))</f>
        <v>0</v>
      </c>
      <c r="I56" s="25" t="n">
        <f aca="false">IF(Darl4_Laufzeit&gt;Darl4_Frei,IF(I58&gt;=Darl4_Frei*12,MIN(Darl4_Betrag/((Darl4_Laufzeit-Darl4_Frei)*12),(H57+I54)),0),IF(I58=Darl4_Laufzeit*12-1,(H57+I54),0))</f>
        <v>0</v>
      </c>
      <c r="J56" s="25" t="n">
        <f aca="false">IF(Darl4_Laufzeit&gt;Darl4_Frei,IF(J58&gt;=Darl4_Frei*12,MIN(Darl4_Betrag/((Darl4_Laufzeit-Darl4_Frei)*12),(I57+J54)),0),IF(J58=Darl4_Laufzeit*12-1,(I57+J54),0))</f>
        <v>0</v>
      </c>
      <c r="K56" s="25" t="n">
        <f aca="false">IF(Darl4_Laufzeit&gt;Darl4_Frei,IF(K58&gt;=Darl4_Frei*12,MIN(Darl4_Betrag/((Darl4_Laufzeit-Darl4_Frei)*12),(J57+K54)),0),IF(K58=Darl4_Laufzeit*12-1,(J57+K54),0))</f>
        <v>0</v>
      </c>
      <c r="L56" s="25" t="n">
        <f aca="false">IF(Darl4_Laufzeit&gt;Darl4_Frei,IF(L58&gt;=Darl4_Frei*12,MIN(Darl4_Betrag/((Darl4_Laufzeit-Darl4_Frei)*12),(K57+L54)),0),IF(L58=Darl4_Laufzeit*12-1,(K57+L54),0))</f>
        <v>0</v>
      </c>
      <c r="M56" s="25" t="n">
        <f aca="false">IF(Darl4_Laufzeit&gt;Darl4_Frei,IF(M58&gt;=Darl4_Frei*12,MIN(Darl4_Betrag/((Darl4_Laufzeit-Darl4_Frei)*12),(L57+M54)),0),IF(M58=Darl4_Laufzeit*12-1,(L57+M54),0))</f>
        <v>0</v>
      </c>
      <c r="N56" s="25" t="n">
        <f aca="false">IF(Darl4_Laufzeit&gt;Darl4_Frei,IF(N58&gt;=Darl4_Frei*12,MIN(Darl4_Betrag/((Darl4_Laufzeit-Darl4_Frei)*12),(M57+N54)),0),IF(N58=Darl4_Laufzeit*12-1,(M57+N54),0))</f>
        <v>0</v>
      </c>
      <c r="O56" s="25" t="n">
        <f aca="false">IF(Darl4_Laufzeit&gt;Darl4_Frei,IF(O58&gt;=Darl4_Frei*12,MIN(Darl4_Betrag/((Darl4_Laufzeit-Darl4_Frei)*12),(N57+O54)),0),IF(O58=Darl4_Laufzeit*12-1,(N57+O54),0))</f>
        <v>0</v>
      </c>
      <c r="P56" s="25" t="n">
        <f aca="false">IF(Darl4_Laufzeit&gt;Darl4_Frei,IF(P58&gt;=Darl4_Frei*12,MIN(Darl4_Betrag/((Darl4_Laufzeit-Darl4_Frei)*12),(O57+P54)),0),IF(P58=Darl4_Laufzeit*12-1,(O57+P54),0))</f>
        <v>0</v>
      </c>
      <c r="Q56" s="25" t="n">
        <f aca="false">IF(Darl4_Laufzeit&gt;Darl4_Frei,IF(Q58&gt;=Darl4_Frei*12,MIN(Darl4_Betrag/((Darl4_Laufzeit-Darl4_Frei)*12),(P57+Q54)),0),IF(Q58=Darl4_Laufzeit*12-1,(P57+Q54),0))</f>
        <v>0</v>
      </c>
      <c r="R56" s="25" t="n">
        <f aca="false">IF(Darl4_Laufzeit&gt;Darl4_Frei,IF(R58&gt;=Darl4_Frei*12,MIN(Darl4_Betrag/((Darl4_Laufzeit-Darl4_Frei)*12),(Q57+R54)),0),IF(R58=Darl4_Laufzeit*12-1,(Q57+R54),0))</f>
        <v>0</v>
      </c>
      <c r="S56" s="25" t="n">
        <f aca="false">IF(Darl4_Laufzeit&gt;Darl4_Frei,IF(S58&gt;=Darl4_Frei*12,MIN(Darl4_Betrag/((Darl4_Laufzeit-Darl4_Frei)*12),(R57+S54)),0),IF(S58=Darl4_Laufzeit*12-1,(R57+S54),0))</f>
        <v>0</v>
      </c>
      <c r="T56" s="25" t="n">
        <f aca="false">IF(Darl4_Laufzeit&gt;Darl4_Frei,IF(T58&gt;=Darl4_Frei*12,MIN(Darl4_Betrag/((Darl4_Laufzeit-Darl4_Frei)*12),(S57+T54)),0),IF(T58=Darl4_Laufzeit*12-1,(S57+T54),0))</f>
        <v>0</v>
      </c>
      <c r="U56" s="25" t="n">
        <f aca="false">IF(Darl4_Laufzeit&gt;Darl4_Frei,IF(U58&gt;=Darl4_Frei*12,MIN(Darl4_Betrag/((Darl4_Laufzeit-Darl4_Frei)*12),(T57+U54)),0),IF(U58=Darl4_Laufzeit*12-1,(T57+U54),0))</f>
        <v>0</v>
      </c>
      <c r="V56" s="25" t="n">
        <f aca="false">IF(Darl4_Laufzeit&gt;Darl4_Frei,IF(V58&gt;=Darl4_Frei*12,MIN(Darl4_Betrag/((Darl4_Laufzeit-Darl4_Frei)*12),(U57+V54)),0),IF(V58=Darl4_Laufzeit*12-1,(U57+V54),0))</f>
        <v>0</v>
      </c>
      <c r="W56" s="25" t="n">
        <f aca="false">IF(Darl4_Laufzeit&gt;Darl4_Frei,IF(W58&gt;=Darl4_Frei*12,MIN(Darl4_Betrag/((Darl4_Laufzeit-Darl4_Frei)*12),(V57+W54)),0),IF(W58=Darl4_Laufzeit*12-1,(V57+W54),0))</f>
        <v>0</v>
      </c>
      <c r="X56" s="25" t="n">
        <f aca="false">IF(Darl4_Laufzeit&gt;Darl4_Frei,IF(X58&gt;=Darl4_Frei*12,MIN(Darl4_Betrag/((Darl4_Laufzeit-Darl4_Frei)*12),(W57+X54)),0),IF(X58=Darl4_Laufzeit*12-1,(W57+X54),0))</f>
        <v>0</v>
      </c>
      <c r="Y56" s="25" t="n">
        <f aca="false">IF(Darl4_Laufzeit&gt;Darl4_Frei,IF(Y58&gt;=Darl4_Frei*12,MIN(Darl4_Betrag/((Darl4_Laufzeit-Darl4_Frei)*12),(X57+Y54)),0),IF(Y58=Darl4_Laufzeit*12-1,(X57+Y54),0))</f>
        <v>0</v>
      </c>
      <c r="Z56" s="25" t="n">
        <f aca="false">IF(Darl4_Laufzeit&gt;Darl4_Frei,IF(Z58&gt;=Darl4_Frei*12,MIN(Darl4_Betrag/((Darl4_Laufzeit-Darl4_Frei)*12),(Y57+Z54)),0),IF(Z58=Darl4_Laufzeit*12-1,(Y57+Z54),0))</f>
        <v>0</v>
      </c>
      <c r="AA56" s="25" t="n">
        <f aca="false">IF(Darl4_Laufzeit&gt;Darl4_Frei,IF(AA58&gt;=Darl4_Frei*12,MIN(Darl4_Betrag/((Darl4_Laufzeit-Darl4_Frei)*12),(Z57+AA54)),0),IF(AA58=Darl4_Laufzeit*12-1,(Z57+AA54),0))</f>
        <v>0</v>
      </c>
      <c r="AB56" s="25" t="n">
        <f aca="false">IF(Darl4_Laufzeit&gt;Darl4_Frei,IF(AB58&gt;=Darl4_Frei*12,MIN(Darl4_Betrag/((Darl4_Laufzeit-Darl4_Frei)*12),(AA57+AB54)),0),IF(AB58=Darl4_Laufzeit*12-1,(AA57+AB54),0))</f>
        <v>0</v>
      </c>
      <c r="AC56" s="25" t="n">
        <f aca="false">IF(Darl4_Laufzeit&gt;Darl4_Frei,IF(AC58&gt;=Darl4_Frei*12,MIN(Darl4_Betrag/((Darl4_Laufzeit-Darl4_Frei)*12),(AB57+AC54)),0),IF(AC58=Darl4_Laufzeit*12-1,(AB57+AC54),0))</f>
        <v>0</v>
      </c>
      <c r="AD56" s="25" t="n">
        <f aca="false">IF(Darl4_Laufzeit&gt;Darl4_Frei,IF(AD58&gt;=Darl4_Frei*12,MIN(Darl4_Betrag/((Darl4_Laufzeit-Darl4_Frei)*12),(AC57+AD54)),0),IF(AD58=Darl4_Laufzeit*12-1,(AC57+AD54),0))</f>
        <v>0</v>
      </c>
      <c r="AE56" s="25" t="n">
        <f aca="false">IF(Darl4_Laufzeit&gt;Darl4_Frei,IF(AE58&gt;=Darl4_Frei*12,MIN(Darl4_Betrag/((Darl4_Laufzeit-Darl4_Frei)*12),(AD57+AE54)),0),IF(AE58=Darl4_Laufzeit*12-1,(AD57+AE54),0))</f>
        <v>0</v>
      </c>
      <c r="AF56" s="25" t="n">
        <f aca="false">IF(Darl4_Laufzeit&gt;Darl4_Frei,IF(AF58&gt;=Darl4_Frei*12,MIN(Darl4_Betrag/((Darl4_Laufzeit-Darl4_Frei)*12),(AE57+AF54)),0),IF(AF58=Darl4_Laufzeit*12-1,(AE57+AF54),0))</f>
        <v>0</v>
      </c>
      <c r="AG56" s="25" t="n">
        <f aca="false">IF(Darl4_Laufzeit&gt;Darl4_Frei,IF(AG58&gt;=Darl4_Frei*12,MIN(Darl4_Betrag/((Darl4_Laufzeit-Darl4_Frei)*12),(AF57+AG54)),0),IF(AG58=Darl4_Laufzeit*12-1,(AF57+AG54),0))</f>
        <v>0</v>
      </c>
      <c r="AH56" s="25" t="n">
        <f aca="false">IF(Darl4_Laufzeit&gt;Darl4_Frei,IF(AH58&gt;=Darl4_Frei*12,MIN(Darl4_Betrag/((Darl4_Laufzeit-Darl4_Frei)*12),(AG57+AH54)),0),IF(AH58=Darl4_Laufzeit*12-1,(AG57+AH54),0))</f>
        <v>0</v>
      </c>
      <c r="AI56" s="25" t="n">
        <f aca="false">IF(Darl4_Laufzeit&gt;Darl4_Frei,IF(AI58&gt;=Darl4_Frei*12,MIN(Darl4_Betrag/((Darl4_Laufzeit-Darl4_Frei)*12),(AH57+AI54)),0),IF(AI58=Darl4_Laufzeit*12-1,(AH57+AI54),0))</f>
        <v>0</v>
      </c>
      <c r="AJ56" s="25" t="n">
        <f aca="false">IF(Darl4_Laufzeit&gt;Darl4_Frei,IF(AJ58&gt;=Darl4_Frei*12,MIN(Darl4_Betrag/((Darl4_Laufzeit-Darl4_Frei)*12),(AI57+AJ54)),0),IF(AJ58=Darl4_Laufzeit*12-1,(AI57+AJ54),0))</f>
        <v>0</v>
      </c>
      <c r="AK56" s="25" t="n">
        <f aca="false">IF(Darl4_Laufzeit&gt;Darl4_Frei,IF(AK58&gt;=Darl4_Frei*12,MIN(Darl4_Betrag/((Darl4_Laufzeit-Darl4_Frei)*12),(AJ57+AK54)),0),IF(AK58=Darl4_Laufzeit*12-1,(AJ57+AK54),0))</f>
        <v>0</v>
      </c>
      <c r="AL56" s="25" t="n">
        <f aca="false">IF(Darl4_Laufzeit&gt;Darl4_Frei,IF(AL58&gt;=Darl4_Frei*12,MIN(Darl4_Betrag/((Darl4_Laufzeit-Darl4_Frei)*12),(AK57+AL54)),0),IF(AL58=Darl4_Laufzeit*12-1,(AK57+AL54),0))</f>
        <v>0</v>
      </c>
      <c r="AM56" s="25" t="n">
        <f aca="false">IF(Darl4_Laufzeit&gt;Darl4_Frei,IF(AM58&gt;=Darl4_Frei*12,MIN(Darl4_Betrag/((Darl4_Laufzeit-Darl4_Frei)*12),(AL57+AM54)),0),IF(AM58=Darl4_Laufzeit*12-1,(AL57+AM54),0))</f>
        <v>0</v>
      </c>
      <c r="AN56" s="25" t="n">
        <f aca="false">IF(Darl4_Laufzeit&gt;Darl4_Frei,IF(AN58&gt;=Darl4_Frei*12,MIN(Darl4_Betrag/((Darl4_Laufzeit-Darl4_Frei)*12),(AM57+AN54)),0),IF(AN58=Darl4_Laufzeit*12-1,(AM57+AN54),0))</f>
        <v>0</v>
      </c>
      <c r="AO56" s="25" t="n">
        <f aca="false">IF(Darl4_Laufzeit&gt;Darl4_Frei,IF(AO58&gt;=Darl4_Frei*12,MIN(Darl4_Betrag/((Darl4_Laufzeit-Darl4_Frei)*12),(AN57+AO54)),0),IF(AO58=Darl4_Laufzeit*12-1,(AN57+AO54),0))</f>
        <v>7463.64215686275</v>
      </c>
      <c r="AP56" s="25" t="n">
        <f aca="false">IF(Darl4_Laufzeit&gt;Darl4_Frei,IF(AP58&gt;=Darl4_Frei*12,MIN(Darl4_Betrag/((Darl4_Laufzeit-Darl4_Frei)*12),(AO57+AP54)),0),IF(AP58=Darl4_Laufzeit*12-1,(AO57+AP54),0))</f>
        <v>7463.64215686275</v>
      </c>
      <c r="AQ56" s="25" t="n">
        <f aca="false">IF(Darl4_Laufzeit&gt;Darl4_Frei,IF(AQ58&gt;=Darl4_Frei*12,MIN(Darl4_Betrag/((Darl4_Laufzeit-Darl4_Frei)*12),(AP57+AQ54)),0),IF(AQ58=Darl4_Laufzeit*12-1,(AP57+AQ54),0))</f>
        <v>7463.64215686275</v>
      </c>
      <c r="AR56" s="25" t="n">
        <f aca="false">IF(Darl4_Laufzeit&gt;Darl4_Frei,IF(AR58&gt;=Darl4_Frei*12,MIN(Darl4_Betrag/((Darl4_Laufzeit-Darl4_Frei)*12),(AQ57+AR54)),0),IF(AR58=Darl4_Laufzeit*12-1,(AQ57+AR54),0))</f>
        <v>7463.64215686275</v>
      </c>
      <c r="AS56" s="25" t="n">
        <f aca="false">IF(Darl4_Laufzeit&gt;Darl4_Frei,IF(AS58&gt;=Darl4_Frei*12,MIN(Darl4_Betrag/((Darl4_Laufzeit-Darl4_Frei)*12),(AR57+AS54)),0),IF(AS58=Darl4_Laufzeit*12-1,(AR57+AS54),0))</f>
        <v>7463.64215686275</v>
      </c>
      <c r="AT56" s="25" t="n">
        <f aca="false">IF(Darl4_Laufzeit&gt;Darl4_Frei,IF(AT58&gt;=Darl4_Frei*12,MIN(Darl4_Betrag/((Darl4_Laufzeit-Darl4_Frei)*12),(AS57+AT54)),0),IF(AT58=Darl4_Laufzeit*12-1,(AS57+AT54),0))</f>
        <v>7463.64215686275</v>
      </c>
      <c r="AU56" s="25" t="n">
        <f aca="false">IF(Darl4_Laufzeit&gt;Darl4_Frei,IF(AU58&gt;=Darl4_Frei*12,MIN(Darl4_Betrag/((Darl4_Laufzeit-Darl4_Frei)*12),(AT57+AU54)),0),IF(AU58=Darl4_Laufzeit*12-1,(AT57+AU54),0))</f>
        <v>7463.64215686275</v>
      </c>
      <c r="AV56" s="25" t="n">
        <f aca="false">IF(Darl4_Laufzeit&gt;Darl4_Frei,IF(AV58&gt;=Darl4_Frei*12,MIN(Darl4_Betrag/((Darl4_Laufzeit-Darl4_Frei)*12),(AU57+AV54)),0),IF(AV58=Darl4_Laufzeit*12-1,(AU57+AV54),0))</f>
        <v>7463.64215686275</v>
      </c>
      <c r="AW56" s="25" t="n">
        <f aca="false">IF(Darl4_Laufzeit&gt;Darl4_Frei,IF(AW58&gt;=Darl4_Frei*12,MIN(Darl4_Betrag/((Darl4_Laufzeit-Darl4_Frei)*12),(AV57+AW54)),0),IF(AW58=Darl4_Laufzeit*12-1,(AV57+AW54),0))</f>
        <v>7463.64215686275</v>
      </c>
      <c r="AX56" s="25" t="n">
        <f aca="false">IF(Darl4_Laufzeit&gt;Darl4_Frei,IF(AX58&gt;=Darl4_Frei*12,MIN(Darl4_Betrag/((Darl4_Laufzeit-Darl4_Frei)*12),(AW57+AX54)),0),IF(AX58=Darl4_Laufzeit*12-1,(AW57+AX54),0))</f>
        <v>7463.64215686275</v>
      </c>
      <c r="AY56" s="25" t="n">
        <f aca="false">IF(Darl4_Laufzeit&gt;Darl4_Frei,IF(AY58&gt;=Darl4_Frei*12,MIN(Darl4_Betrag/((Darl4_Laufzeit-Darl4_Frei)*12),(AX57+AY54)),0),IF(AY58=Darl4_Laufzeit*12-1,(AX57+AY54),0))</f>
        <v>7463.64215686275</v>
      </c>
      <c r="AZ56" s="25" t="n">
        <f aca="false">IF(Darl4_Laufzeit&gt;Darl4_Frei,IF(AZ58&gt;=Darl4_Frei*12,MIN(Darl4_Betrag/((Darl4_Laufzeit-Darl4_Frei)*12),(AY57+AZ54)),0),IF(AZ58=Darl4_Laufzeit*12-1,(AY57+AZ54),0))</f>
        <v>7463.64215686275</v>
      </c>
      <c r="BA56" s="25" t="n">
        <f aca="false">IF(Darl4_Laufzeit&gt;Darl4_Frei,IF(BA58&gt;=Darl4_Frei*12,MIN(Darl4_Betrag/((Darl4_Laufzeit-Darl4_Frei)*12),(AZ57+BA54)),0),IF(BA58=Darl4_Laufzeit*12-1,(AZ57+BA54),0))</f>
        <v>7463.64215686275</v>
      </c>
      <c r="BB56" s="25" t="n">
        <f aca="false">IF(Darl4_Laufzeit&gt;Darl4_Frei,IF(BB58&gt;=Darl4_Frei*12,MIN(Darl4_Betrag/((Darl4_Laufzeit-Darl4_Frei)*12),(BA57+BB54)),0),IF(BB58=Darl4_Laufzeit*12-1,(BA57+BB54),0))</f>
        <v>7463.64215686275</v>
      </c>
      <c r="BC56" s="25" t="n">
        <f aca="false">IF(Darl4_Laufzeit&gt;Darl4_Frei,IF(BC58&gt;=Darl4_Frei*12,MIN(Darl4_Betrag/((Darl4_Laufzeit-Darl4_Frei)*12),(BB57+BC54)),0),IF(BC58=Darl4_Laufzeit*12-1,(BB57+BC54),0))</f>
        <v>7463.64215686275</v>
      </c>
      <c r="BD56" s="25" t="n">
        <f aca="false">IF(Darl4_Laufzeit&gt;Darl4_Frei,IF(BD58&gt;=Darl4_Frei*12,MIN(Darl4_Betrag/((Darl4_Laufzeit-Darl4_Frei)*12),(BC57+BD54)),0),IF(BD58=Darl4_Laufzeit*12-1,(BC57+BD54),0))</f>
        <v>7463.64215686275</v>
      </c>
      <c r="BE56" s="25" t="n">
        <f aca="false">IF(Darl4_Laufzeit&gt;Darl4_Frei,IF(BE58&gt;=Darl4_Frei*12,MIN(Darl4_Betrag/((Darl4_Laufzeit-Darl4_Frei)*12),(BD57+BE54)),0),IF(BE58=Darl4_Laufzeit*12-1,(BD57+BE54),0))</f>
        <v>7463.64215686275</v>
      </c>
      <c r="BF56" s="25" t="n">
        <f aca="false">IF(Darl4_Laufzeit&gt;Darl4_Frei,IF(BF58&gt;=Darl4_Frei*12,MIN(Darl4_Betrag/((Darl4_Laufzeit-Darl4_Frei)*12),(BE57+BF54)),0),IF(BF58=Darl4_Laufzeit*12-1,(BE57+BF54),0))</f>
        <v>7463.64215686275</v>
      </c>
      <c r="BG56" s="25" t="n">
        <f aca="false">IF(Darl4_Laufzeit&gt;Darl4_Frei,IF(BG58&gt;=Darl4_Frei*12,MIN(Darl4_Betrag/((Darl4_Laufzeit-Darl4_Frei)*12),(BF57+BG54)),0),IF(BG58=Darl4_Laufzeit*12-1,(BF57+BG54),0))</f>
        <v>7463.64215686275</v>
      </c>
      <c r="BH56" s="25" t="n">
        <f aca="false">IF(Darl4_Laufzeit&gt;Darl4_Frei,IF(BH58&gt;=Darl4_Frei*12,MIN(Darl4_Betrag/((Darl4_Laufzeit-Darl4_Frei)*12),(BG57+BH54)),0),IF(BH58=Darl4_Laufzeit*12-1,(BG57+BH54),0))</f>
        <v>7463.64215686275</v>
      </c>
      <c r="BI56" s="25" t="n">
        <f aca="false">IF(Darl4_Laufzeit&gt;Darl4_Frei,IF(BI58&gt;=Darl4_Frei*12,MIN(Darl4_Betrag/((Darl4_Laufzeit-Darl4_Frei)*12),(BH57+BI54)),0),IF(BI58=Darl4_Laufzeit*12-1,(BH57+BI54),0))</f>
        <v>7463.64215686275</v>
      </c>
      <c r="BJ56" s="25" t="n">
        <f aca="false">IF(Darl4_Laufzeit&gt;Darl4_Frei,IF(BJ58&gt;=Darl4_Frei*12,MIN(Darl4_Betrag/((Darl4_Laufzeit-Darl4_Frei)*12),(BI57+BJ54)),0),IF(BJ58=Darl4_Laufzeit*12-1,(BI57+BJ54),0))</f>
        <v>7463.64215686275</v>
      </c>
      <c r="BK56" s="25" t="n">
        <f aca="false">IF(Darl4_Laufzeit&gt;Darl4_Frei,IF(BK58&gt;=Darl4_Frei*12,MIN(Darl4_Betrag/((Darl4_Laufzeit-Darl4_Frei)*12),(BJ57+BK54)),0),IF(BK58=Darl4_Laufzeit*12-1,(BJ57+BK54),0))</f>
        <v>7463.64215686275</v>
      </c>
      <c r="BL56" s="25" t="n">
        <f aca="false">IF(Darl4_Laufzeit&gt;Darl4_Frei,IF(BL58&gt;=Darl4_Frei*12,MIN(Darl4_Betrag/((Darl4_Laufzeit-Darl4_Frei)*12),(BK57+BL54)),0),IF(BL58=Darl4_Laufzeit*12-1,(BK57+BL54),0))</f>
        <v>7463.64215686275</v>
      </c>
      <c r="BM56" s="25" t="n">
        <f aca="false">IF(Darl4_Laufzeit&gt;Darl4_Frei,IF(BM58&gt;=Darl4_Frei*12,MIN(Darl4_Betrag/((Darl4_Laufzeit-Darl4_Frei)*12),(BL57+BM54)),0),IF(BM58=Darl4_Laufzeit*12-1,(BL57+BM54),0))</f>
        <v>7463.64215686275</v>
      </c>
      <c r="BN56" s="25" t="n">
        <f aca="false">IF(Darl4_Laufzeit&gt;Darl4_Frei,IF(BN58&gt;=Darl4_Frei*12,MIN(Darl4_Betrag/((Darl4_Laufzeit-Darl4_Frei)*12),(BM57+BN54)),0),IF(BN58=Darl4_Laufzeit*12-1,(BM57+BN54),0))</f>
        <v>7463.64215686275</v>
      </c>
      <c r="BO56" s="25" t="n">
        <f aca="false">IF(Darl4_Laufzeit&gt;Darl4_Frei,IF(BO58&gt;=Darl4_Frei*12,MIN(Darl4_Betrag/((Darl4_Laufzeit-Darl4_Frei)*12),(BN57+BO54)),0),IF(BO58=Darl4_Laufzeit*12-1,(BN57+BO54),0))</f>
        <v>7463.64215686275</v>
      </c>
    </row>
    <row r="57" customFormat="false" ht="15" hidden="false" customHeight="false" outlineLevel="0" collapsed="false">
      <c r="B57" s="2" t="s">
        <v>416</v>
      </c>
      <c r="C57" s="25" t="n">
        <f aca="false">(C54)-C56</f>
        <v>0</v>
      </c>
      <c r="D57" s="25" t="n">
        <f aca="false">(C57+D54)-D56</f>
        <v>0</v>
      </c>
      <c r="E57" s="25" t="n">
        <f aca="false">(D57+E54)-E56</f>
        <v>1522583</v>
      </c>
      <c r="F57" s="25" t="n">
        <f aca="false">(E57+F54)-F56</f>
        <v>1522583</v>
      </c>
      <c r="G57" s="25" t="n">
        <f aca="false">(F57+G54)-G56</f>
        <v>1522583</v>
      </c>
      <c r="H57" s="25" t="n">
        <f aca="false">(G57+H54)-H56</f>
        <v>1522583</v>
      </c>
      <c r="I57" s="25" t="n">
        <f aca="false">(H57+I54)-I56</f>
        <v>1522583</v>
      </c>
      <c r="J57" s="25" t="n">
        <f aca="false">(I57+J54)-J56</f>
        <v>1522583</v>
      </c>
      <c r="K57" s="25" t="n">
        <f aca="false">(J57+K54)-K56</f>
        <v>1522583</v>
      </c>
      <c r="L57" s="25" t="n">
        <f aca="false">(K57+L54)-L56</f>
        <v>1522583</v>
      </c>
      <c r="M57" s="25" t="n">
        <f aca="false">(L57+M54)-M56</f>
        <v>1522583</v>
      </c>
      <c r="N57" s="25" t="n">
        <f aca="false">(M57+N54)-N56</f>
        <v>1522583</v>
      </c>
      <c r="O57" s="25" t="n">
        <f aca="false">(N57+O54)-O56</f>
        <v>1522583</v>
      </c>
      <c r="P57" s="25" t="n">
        <f aca="false">(O57+P54)-P56</f>
        <v>1522583</v>
      </c>
      <c r="Q57" s="25" t="n">
        <f aca="false">(P57+Q54)-Q56</f>
        <v>1522583</v>
      </c>
      <c r="R57" s="25" t="n">
        <f aca="false">(Q57+R54)-R56</f>
        <v>1522583</v>
      </c>
      <c r="S57" s="25" t="n">
        <f aca="false">(R57+S54)-S56</f>
        <v>1522583</v>
      </c>
      <c r="T57" s="25" t="n">
        <f aca="false">(S57+T54)-T56</f>
        <v>1522583</v>
      </c>
      <c r="U57" s="25" t="n">
        <f aca="false">(T57+U54)-U56</f>
        <v>1522583</v>
      </c>
      <c r="V57" s="25" t="n">
        <f aca="false">(U57+V54)-V56</f>
        <v>1522583</v>
      </c>
      <c r="W57" s="25" t="n">
        <f aca="false">(V57+W54)-W56</f>
        <v>1522583</v>
      </c>
      <c r="X57" s="25" t="n">
        <f aca="false">(W57+X54)-X56</f>
        <v>1522583</v>
      </c>
      <c r="Y57" s="25" t="n">
        <f aca="false">(X57+Y54)-Y56</f>
        <v>1522583</v>
      </c>
      <c r="Z57" s="25" t="n">
        <f aca="false">(Y57+Z54)-Z56</f>
        <v>1522583</v>
      </c>
      <c r="AA57" s="25" t="n">
        <f aca="false">(Z57+AA54)-AA56</f>
        <v>1522583</v>
      </c>
      <c r="AB57" s="25" t="n">
        <f aca="false">(AA57+AB54)-AB56</f>
        <v>1522583</v>
      </c>
      <c r="AC57" s="25" t="n">
        <f aca="false">(AB57+AC54)-AC56</f>
        <v>1522583</v>
      </c>
      <c r="AD57" s="25" t="n">
        <f aca="false">(AC57+AD54)-AD56</f>
        <v>1522583</v>
      </c>
      <c r="AE57" s="25" t="n">
        <f aca="false">(AD57+AE54)-AE56</f>
        <v>1522583</v>
      </c>
      <c r="AF57" s="25" t="n">
        <f aca="false">(AE57+AF54)-AF56</f>
        <v>1522583</v>
      </c>
      <c r="AG57" s="25" t="n">
        <f aca="false">(AF57+AG54)-AG56</f>
        <v>1522583</v>
      </c>
      <c r="AH57" s="25" t="n">
        <f aca="false">(AG57+AH54)-AH56</f>
        <v>1522583</v>
      </c>
      <c r="AI57" s="25" t="n">
        <f aca="false">(AH57+AI54)-AI56</f>
        <v>1522583</v>
      </c>
      <c r="AJ57" s="25" t="n">
        <f aca="false">(AI57+AJ54)-AJ56</f>
        <v>1522583</v>
      </c>
      <c r="AK57" s="25" t="n">
        <f aca="false">(AJ57+AK54)-AK56</f>
        <v>1522583</v>
      </c>
      <c r="AL57" s="25" t="n">
        <f aca="false">(AK57+AL54)-AL56</f>
        <v>1522583</v>
      </c>
      <c r="AM57" s="25" t="n">
        <f aca="false">(AL57+AM54)-AM56</f>
        <v>1522583</v>
      </c>
      <c r="AN57" s="25" t="n">
        <f aca="false">(AM57+AN54)-AN56</f>
        <v>1522583</v>
      </c>
      <c r="AO57" s="25" t="n">
        <f aca="false">(AN57+AO54)-AO56</f>
        <v>1515119.35784314</v>
      </c>
      <c r="AP57" s="25" t="n">
        <f aca="false">(AO57+AP54)-AP56</f>
        <v>1507655.71568627</v>
      </c>
      <c r="AQ57" s="25" t="n">
        <f aca="false">(AP57+AQ54)-AQ56</f>
        <v>1500192.07352941</v>
      </c>
      <c r="AR57" s="25" t="n">
        <f aca="false">(AQ57+AR54)-AR56</f>
        <v>1492728.43137255</v>
      </c>
      <c r="AS57" s="25" t="n">
        <f aca="false">(AR57+AS54)-AS56</f>
        <v>1485264.78921569</v>
      </c>
      <c r="AT57" s="25" t="n">
        <f aca="false">(AS57+AT54)-AT56</f>
        <v>1477801.14705882</v>
      </c>
      <c r="AU57" s="25" t="n">
        <f aca="false">(AT57+AU54)-AU56</f>
        <v>1470337.50490196</v>
      </c>
      <c r="AV57" s="25" t="n">
        <f aca="false">(AU57+AV54)-AV56</f>
        <v>1462873.8627451</v>
      </c>
      <c r="AW57" s="25" t="n">
        <f aca="false">(AV57+AW54)-AW56</f>
        <v>1455410.22058824</v>
      </c>
      <c r="AX57" s="25" t="n">
        <f aca="false">(AW57+AX54)-AX56</f>
        <v>1447946.57843137</v>
      </c>
      <c r="AY57" s="25" t="n">
        <f aca="false">(AX57+AY54)-AY56</f>
        <v>1440482.93627451</v>
      </c>
      <c r="AZ57" s="25" t="n">
        <f aca="false">(AY57+AZ54)-AZ56</f>
        <v>1433019.29411765</v>
      </c>
      <c r="BA57" s="25" t="n">
        <f aca="false">(AZ57+BA54)-BA56</f>
        <v>1425555.65196079</v>
      </c>
      <c r="BB57" s="25" t="n">
        <f aca="false">(BA57+BB54)-BB56</f>
        <v>1418092.00980392</v>
      </c>
      <c r="BC57" s="25" t="n">
        <f aca="false">(BB57+BC54)-BC56</f>
        <v>1410628.36764706</v>
      </c>
      <c r="BD57" s="25" t="n">
        <f aca="false">(BC57+BD54)-BD56</f>
        <v>1403164.7254902</v>
      </c>
      <c r="BE57" s="25" t="n">
        <f aca="false">(BD57+BE54)-BE56</f>
        <v>1395701.08333334</v>
      </c>
      <c r="BF57" s="25" t="n">
        <f aca="false">(BE57+BF54)-BF56</f>
        <v>1388237.44117647</v>
      </c>
      <c r="BG57" s="25" t="n">
        <f aca="false">(BF57+BG54)-BG56</f>
        <v>1380773.79901961</v>
      </c>
      <c r="BH57" s="25" t="n">
        <f aca="false">(BG57+BH54)-BH56</f>
        <v>1373310.15686275</v>
      </c>
      <c r="BI57" s="25" t="n">
        <f aca="false">(BH57+BI54)-BI56</f>
        <v>1365846.51470588</v>
      </c>
      <c r="BJ57" s="25" t="n">
        <f aca="false">(BI57+BJ54)-BJ56</f>
        <v>1358382.87254902</v>
      </c>
      <c r="BK57" s="25" t="n">
        <f aca="false">(BJ57+BK54)-BK56</f>
        <v>1350919.23039216</v>
      </c>
      <c r="BL57" s="25" t="n">
        <f aca="false">(BK57+BL54)-BL56</f>
        <v>1343455.5882353</v>
      </c>
      <c r="BM57" s="25" t="n">
        <f aca="false">(BL57+BM54)-BM56</f>
        <v>1335991.94607843</v>
      </c>
      <c r="BN57" s="25" t="n">
        <f aca="false">(BM57+BN54)-BN56</f>
        <v>1328528.30392157</v>
      </c>
      <c r="BO57" s="25" t="n">
        <f aca="false">(BN57+BO54)-BO56</f>
        <v>1321064.66176471</v>
      </c>
    </row>
    <row r="58" customFormat="false" ht="15" hidden="false" customHeight="false" outlineLevel="0" collapsed="false">
      <c r="B58" s="2" t="s">
        <v>417</v>
      </c>
      <c r="C58" s="36" t="n">
        <f aca="false">C$30-MATCH(Darl4_Auszahlung,Fz_Monat,0)</f>
        <v>-2</v>
      </c>
      <c r="D58" s="36" t="n">
        <f aca="false">D$30-MATCH(Darl4_Auszahlung,Fz_Monat,0)</f>
        <v>-1</v>
      </c>
      <c r="E58" s="36" t="n">
        <f aca="false">E$30-MATCH(Darl4_Auszahlung,Fz_Monat,0)</f>
        <v>0</v>
      </c>
      <c r="F58" s="36" t="n">
        <f aca="false">F$30-MATCH(Darl4_Auszahlung,Fz_Monat,0)</f>
        <v>1</v>
      </c>
      <c r="G58" s="36" t="n">
        <f aca="false">G$30-MATCH(Darl4_Auszahlung,Fz_Monat,0)</f>
        <v>2</v>
      </c>
      <c r="H58" s="36" t="n">
        <f aca="false">H$30-MATCH(Darl4_Auszahlung,Fz_Monat,0)</f>
        <v>3</v>
      </c>
      <c r="I58" s="36" t="n">
        <f aca="false">I$30-MATCH(Darl4_Auszahlung,Fz_Monat,0)</f>
        <v>4</v>
      </c>
      <c r="J58" s="36" t="n">
        <f aca="false">J$30-MATCH(Darl4_Auszahlung,Fz_Monat,0)</f>
        <v>5</v>
      </c>
      <c r="K58" s="36" t="n">
        <f aca="false">K$30-MATCH(Darl4_Auszahlung,Fz_Monat,0)</f>
        <v>6</v>
      </c>
      <c r="L58" s="36" t="n">
        <f aca="false">L$30-MATCH(Darl4_Auszahlung,Fz_Monat,0)</f>
        <v>7</v>
      </c>
      <c r="M58" s="36" t="n">
        <f aca="false">M$30-MATCH(Darl4_Auszahlung,Fz_Monat,0)</f>
        <v>8</v>
      </c>
      <c r="N58" s="36" t="n">
        <f aca="false">N$30-MATCH(Darl4_Auszahlung,Fz_Monat,0)</f>
        <v>9</v>
      </c>
      <c r="O58" s="36" t="n">
        <f aca="false">O$30-MATCH(Darl4_Auszahlung,Fz_Monat,0)</f>
        <v>10</v>
      </c>
      <c r="P58" s="36" t="n">
        <f aca="false">P$30-MATCH(Darl4_Auszahlung,Fz_Monat,0)</f>
        <v>11</v>
      </c>
      <c r="Q58" s="36" t="n">
        <f aca="false">Q$30-MATCH(Darl4_Auszahlung,Fz_Monat,0)</f>
        <v>12</v>
      </c>
      <c r="R58" s="36" t="n">
        <f aca="false">R$30-MATCH(Darl4_Auszahlung,Fz_Monat,0)</f>
        <v>13</v>
      </c>
      <c r="S58" s="36" t="n">
        <f aca="false">S$30-MATCH(Darl4_Auszahlung,Fz_Monat,0)</f>
        <v>14</v>
      </c>
      <c r="T58" s="36" t="n">
        <f aca="false">T$30-MATCH(Darl4_Auszahlung,Fz_Monat,0)</f>
        <v>15</v>
      </c>
      <c r="U58" s="36" t="n">
        <f aca="false">U$30-MATCH(Darl4_Auszahlung,Fz_Monat,0)</f>
        <v>16</v>
      </c>
      <c r="V58" s="36" t="n">
        <f aca="false">V$30-MATCH(Darl4_Auszahlung,Fz_Monat,0)</f>
        <v>17</v>
      </c>
      <c r="W58" s="36" t="n">
        <f aca="false">W$30-MATCH(Darl4_Auszahlung,Fz_Monat,0)</f>
        <v>18</v>
      </c>
      <c r="X58" s="36" t="n">
        <f aca="false">X$30-MATCH(Darl4_Auszahlung,Fz_Monat,0)</f>
        <v>19</v>
      </c>
      <c r="Y58" s="36" t="n">
        <f aca="false">Y$30-MATCH(Darl4_Auszahlung,Fz_Monat,0)</f>
        <v>20</v>
      </c>
      <c r="Z58" s="36" t="n">
        <f aca="false">Z$30-MATCH(Darl4_Auszahlung,Fz_Monat,0)</f>
        <v>21</v>
      </c>
      <c r="AA58" s="36" t="n">
        <f aca="false">AA$30-MATCH(Darl4_Auszahlung,Fz_Monat,0)</f>
        <v>22</v>
      </c>
      <c r="AB58" s="36" t="n">
        <f aca="false">AB$30-MATCH(Darl4_Auszahlung,Fz_Monat,0)</f>
        <v>23</v>
      </c>
      <c r="AC58" s="36" t="n">
        <f aca="false">AC$30-MATCH(Darl4_Auszahlung,Fz_Monat,0)</f>
        <v>24</v>
      </c>
      <c r="AD58" s="36" t="n">
        <f aca="false">AD$30-MATCH(Darl4_Auszahlung,Fz_Monat,0)</f>
        <v>25</v>
      </c>
      <c r="AE58" s="36" t="n">
        <f aca="false">AE$30-MATCH(Darl4_Auszahlung,Fz_Monat,0)</f>
        <v>26</v>
      </c>
      <c r="AF58" s="36" t="n">
        <f aca="false">AF$30-MATCH(Darl4_Auszahlung,Fz_Monat,0)</f>
        <v>27</v>
      </c>
      <c r="AG58" s="36" t="n">
        <f aca="false">AG$30-MATCH(Darl4_Auszahlung,Fz_Monat,0)</f>
        <v>28</v>
      </c>
      <c r="AH58" s="36" t="n">
        <f aca="false">AH$30-MATCH(Darl4_Auszahlung,Fz_Monat,0)</f>
        <v>29</v>
      </c>
      <c r="AI58" s="36" t="n">
        <f aca="false">AI$30-MATCH(Darl4_Auszahlung,Fz_Monat,0)</f>
        <v>30</v>
      </c>
      <c r="AJ58" s="36" t="n">
        <f aca="false">AJ$30-MATCH(Darl4_Auszahlung,Fz_Monat,0)</f>
        <v>31</v>
      </c>
      <c r="AK58" s="36" t="n">
        <f aca="false">AK$30-MATCH(Darl4_Auszahlung,Fz_Monat,0)</f>
        <v>32</v>
      </c>
      <c r="AL58" s="36" t="n">
        <f aca="false">AL$30-MATCH(Darl4_Auszahlung,Fz_Monat,0)</f>
        <v>33</v>
      </c>
      <c r="AM58" s="36" t="n">
        <f aca="false">AM$30-MATCH(Darl4_Auszahlung,Fz_Monat,0)</f>
        <v>34</v>
      </c>
      <c r="AN58" s="36" t="n">
        <f aca="false">AN$30-MATCH(Darl4_Auszahlung,Fz_Monat,0)</f>
        <v>35</v>
      </c>
      <c r="AO58" s="36" t="n">
        <f aca="false">AO$30-MATCH(Darl4_Auszahlung,Fz_Monat,0)</f>
        <v>36</v>
      </c>
      <c r="AP58" s="36" t="n">
        <f aca="false">AP$30-MATCH(Darl4_Auszahlung,Fz_Monat,0)</f>
        <v>37</v>
      </c>
      <c r="AQ58" s="36" t="n">
        <f aca="false">AQ$30-MATCH(Darl4_Auszahlung,Fz_Monat,0)</f>
        <v>38</v>
      </c>
      <c r="AR58" s="36" t="n">
        <f aca="false">AR$30-MATCH(Darl4_Auszahlung,Fz_Monat,0)</f>
        <v>39</v>
      </c>
      <c r="AS58" s="36" t="n">
        <f aca="false">AS$30-MATCH(Darl4_Auszahlung,Fz_Monat,0)</f>
        <v>40</v>
      </c>
      <c r="AT58" s="36" t="n">
        <f aca="false">AT$30-MATCH(Darl4_Auszahlung,Fz_Monat,0)</f>
        <v>41</v>
      </c>
      <c r="AU58" s="36" t="n">
        <f aca="false">AU$30-MATCH(Darl4_Auszahlung,Fz_Monat,0)</f>
        <v>42</v>
      </c>
      <c r="AV58" s="36" t="n">
        <f aca="false">AV$30-MATCH(Darl4_Auszahlung,Fz_Monat,0)</f>
        <v>43</v>
      </c>
      <c r="AW58" s="36" t="n">
        <f aca="false">AW$30-MATCH(Darl4_Auszahlung,Fz_Monat,0)</f>
        <v>44</v>
      </c>
      <c r="AX58" s="36" t="n">
        <f aca="false">AX$30-MATCH(Darl4_Auszahlung,Fz_Monat,0)</f>
        <v>45</v>
      </c>
      <c r="AY58" s="36" t="n">
        <f aca="false">AY$30-MATCH(Darl4_Auszahlung,Fz_Monat,0)</f>
        <v>46</v>
      </c>
      <c r="AZ58" s="36" t="n">
        <f aca="false">AZ$30-MATCH(Darl4_Auszahlung,Fz_Monat,0)</f>
        <v>47</v>
      </c>
      <c r="BA58" s="36" t="n">
        <f aca="false">BA$30-MATCH(Darl4_Auszahlung,Fz_Monat,0)</f>
        <v>48</v>
      </c>
      <c r="BB58" s="36" t="n">
        <f aca="false">BB$30-MATCH(Darl4_Auszahlung,Fz_Monat,0)</f>
        <v>49</v>
      </c>
      <c r="BC58" s="36" t="n">
        <f aca="false">BC$30-MATCH(Darl4_Auszahlung,Fz_Monat,0)</f>
        <v>50</v>
      </c>
      <c r="BD58" s="36" t="n">
        <f aca="false">BD$30-MATCH(Darl4_Auszahlung,Fz_Monat,0)</f>
        <v>51</v>
      </c>
      <c r="BE58" s="36" t="n">
        <f aca="false">BE$30-MATCH(Darl4_Auszahlung,Fz_Monat,0)</f>
        <v>52</v>
      </c>
      <c r="BF58" s="36" t="n">
        <f aca="false">BF$30-MATCH(Darl4_Auszahlung,Fz_Monat,0)</f>
        <v>53</v>
      </c>
      <c r="BG58" s="36" t="n">
        <f aca="false">BG$30-MATCH(Darl4_Auszahlung,Fz_Monat,0)</f>
        <v>54</v>
      </c>
      <c r="BH58" s="36" t="n">
        <f aca="false">BH$30-MATCH(Darl4_Auszahlung,Fz_Monat,0)</f>
        <v>55</v>
      </c>
      <c r="BI58" s="36" t="n">
        <f aca="false">BI$30-MATCH(Darl4_Auszahlung,Fz_Monat,0)</f>
        <v>56</v>
      </c>
      <c r="BJ58" s="36" t="n">
        <f aca="false">BJ$30-MATCH(Darl4_Auszahlung,Fz_Monat,0)</f>
        <v>57</v>
      </c>
      <c r="BK58" s="36" t="n">
        <f aca="false">BK$30-MATCH(Darl4_Auszahlung,Fz_Monat,0)</f>
        <v>58</v>
      </c>
      <c r="BL58" s="36" t="n">
        <f aca="false">BL$30-MATCH(Darl4_Auszahlung,Fz_Monat,0)</f>
        <v>59</v>
      </c>
      <c r="BM58" s="36" t="n">
        <f aca="false">BM$30-MATCH(Darl4_Auszahlung,Fz_Monat,0)</f>
        <v>60</v>
      </c>
      <c r="BN58" s="36" t="n">
        <f aca="false">BN$30-MATCH(Darl4_Auszahlung,Fz_Monat,0)</f>
        <v>61</v>
      </c>
      <c r="BO58" s="36" t="n">
        <f aca="false">BO$30-MATCH(Darl4_Auszahlung,Fz_Monat,0)</f>
        <v>62</v>
      </c>
    </row>
    <row r="60" customFormat="false" ht="15" hidden="false" customHeight="false" outlineLevel="0" collapsed="false">
      <c r="B60" s="8" t="s">
        <v>418</v>
      </c>
      <c r="C60" s="35" t="n">
        <f aca="false">C33+C40+C47+C54</f>
        <v>250000</v>
      </c>
      <c r="D60" s="35" t="n">
        <f aca="false">D33+D40+D47+D54</f>
        <v>700000</v>
      </c>
      <c r="E60" s="35" t="n">
        <f aca="false">E33+E40+E47+E54</f>
        <v>1522583</v>
      </c>
      <c r="F60" s="35" t="n">
        <f aca="false">F33+F40+F47+F54</f>
        <v>0</v>
      </c>
      <c r="G60" s="35" t="n">
        <f aca="false">G33+G40+G47+G54</f>
        <v>0</v>
      </c>
      <c r="H60" s="35" t="n">
        <f aca="false">H33+H40+H47+H54</f>
        <v>0</v>
      </c>
      <c r="I60" s="35" t="n">
        <f aca="false">I33+I40+I47+I54</f>
        <v>0</v>
      </c>
      <c r="J60" s="35" t="n">
        <f aca="false">J33+J40+J47+J54</f>
        <v>0</v>
      </c>
      <c r="K60" s="35" t="n">
        <f aca="false">K33+K40+K47+K54</f>
        <v>0</v>
      </c>
      <c r="L60" s="35" t="n">
        <f aca="false">L33+L40+L47+L54</f>
        <v>0</v>
      </c>
      <c r="M60" s="35" t="n">
        <f aca="false">M33+M40+M47+M54</f>
        <v>0</v>
      </c>
      <c r="N60" s="35" t="n">
        <f aca="false">N33+N40+N47+N54</f>
        <v>0</v>
      </c>
      <c r="O60" s="35" t="n">
        <f aca="false">O33+O40+O47+O54</f>
        <v>0</v>
      </c>
      <c r="P60" s="35" t="n">
        <f aca="false">P33+P40+P47+P54</f>
        <v>0</v>
      </c>
      <c r="Q60" s="35" t="n">
        <f aca="false">Q33+Q40+Q47+Q54</f>
        <v>0</v>
      </c>
      <c r="R60" s="35" t="n">
        <f aca="false">R33+R40+R47+R54</f>
        <v>0</v>
      </c>
      <c r="S60" s="35" t="n">
        <f aca="false">S33+S40+S47+S54</f>
        <v>0</v>
      </c>
      <c r="T60" s="35" t="n">
        <f aca="false">T33+T40+T47+T54</f>
        <v>0</v>
      </c>
      <c r="U60" s="35" t="n">
        <f aca="false">U33+U40+U47+U54</f>
        <v>0</v>
      </c>
      <c r="V60" s="35" t="n">
        <f aca="false">V33+V40+V47+V54</f>
        <v>0</v>
      </c>
      <c r="W60" s="35" t="n">
        <f aca="false">W33+W40+W47+W54</f>
        <v>0</v>
      </c>
      <c r="X60" s="35" t="n">
        <f aca="false">X33+X40+X47+X54</f>
        <v>0</v>
      </c>
      <c r="Y60" s="35" t="n">
        <f aca="false">Y33+Y40+Y47+Y54</f>
        <v>0</v>
      </c>
      <c r="Z60" s="35" t="n">
        <f aca="false">Z33+Z40+Z47+Z54</f>
        <v>0</v>
      </c>
      <c r="AA60" s="35" t="n">
        <f aca="false">AA33+AA40+AA47+AA54</f>
        <v>0</v>
      </c>
      <c r="AB60" s="35" t="n">
        <f aca="false">AB33+AB40+AB47+AB54</f>
        <v>0</v>
      </c>
      <c r="AC60" s="35" t="n">
        <f aca="false">AC33+AC40+AC47+AC54</f>
        <v>0</v>
      </c>
      <c r="AD60" s="35" t="n">
        <f aca="false">AD33+AD40+AD47+AD54</f>
        <v>0</v>
      </c>
      <c r="AE60" s="35" t="n">
        <f aca="false">AE33+AE40+AE47+AE54</f>
        <v>0</v>
      </c>
      <c r="AF60" s="35" t="n">
        <f aca="false">AF33+AF40+AF47+AF54</f>
        <v>0</v>
      </c>
      <c r="AG60" s="35" t="n">
        <f aca="false">AG33+AG40+AG47+AG54</f>
        <v>0</v>
      </c>
      <c r="AH60" s="35" t="n">
        <f aca="false">AH33+AH40+AH47+AH54</f>
        <v>0</v>
      </c>
      <c r="AI60" s="35" t="n">
        <f aca="false">AI33+AI40+AI47+AI54</f>
        <v>0</v>
      </c>
      <c r="AJ60" s="35" t="n">
        <f aca="false">AJ33+AJ40+AJ47+AJ54</f>
        <v>0</v>
      </c>
      <c r="AK60" s="35" t="n">
        <f aca="false">AK33+AK40+AK47+AK54</f>
        <v>0</v>
      </c>
      <c r="AL60" s="35" t="n">
        <f aca="false">AL33+AL40+AL47+AL54</f>
        <v>0</v>
      </c>
      <c r="AM60" s="35" t="n">
        <f aca="false">AM33+AM40+AM47+AM54</f>
        <v>0</v>
      </c>
      <c r="AN60" s="35" t="n">
        <f aca="false">AN33+AN40+AN47+AN54</f>
        <v>0</v>
      </c>
      <c r="AO60" s="35" t="n">
        <f aca="false">AO33+AO40+AO47+AO54</f>
        <v>0</v>
      </c>
      <c r="AP60" s="35" t="n">
        <f aca="false">AP33+AP40+AP47+AP54</f>
        <v>0</v>
      </c>
      <c r="AQ60" s="35" t="n">
        <f aca="false">AQ33+AQ40+AQ47+AQ54</f>
        <v>0</v>
      </c>
      <c r="AR60" s="35" t="n">
        <f aca="false">AR33+AR40+AR47+AR54</f>
        <v>0</v>
      </c>
      <c r="AS60" s="35" t="n">
        <f aca="false">AS33+AS40+AS47+AS54</f>
        <v>0</v>
      </c>
      <c r="AT60" s="35" t="n">
        <f aca="false">AT33+AT40+AT47+AT54</f>
        <v>0</v>
      </c>
      <c r="AU60" s="35" t="n">
        <f aca="false">AU33+AU40+AU47+AU54</f>
        <v>0</v>
      </c>
      <c r="AV60" s="35" t="n">
        <f aca="false">AV33+AV40+AV47+AV54</f>
        <v>0</v>
      </c>
      <c r="AW60" s="35" t="n">
        <f aca="false">AW33+AW40+AW47+AW54</f>
        <v>0</v>
      </c>
      <c r="AX60" s="35" t="n">
        <f aca="false">AX33+AX40+AX47+AX54</f>
        <v>0</v>
      </c>
      <c r="AY60" s="35" t="n">
        <f aca="false">AY33+AY40+AY47+AY54</f>
        <v>0</v>
      </c>
      <c r="AZ60" s="35" t="n">
        <f aca="false">AZ33+AZ40+AZ47+AZ54</f>
        <v>0</v>
      </c>
      <c r="BA60" s="35" t="n">
        <f aca="false">BA33+BA40+BA47+BA54</f>
        <v>0</v>
      </c>
      <c r="BB60" s="35" t="n">
        <f aca="false">BB33+BB40+BB47+BB54</f>
        <v>0</v>
      </c>
      <c r="BC60" s="35" t="n">
        <f aca="false">BC33+BC40+BC47+BC54</f>
        <v>0</v>
      </c>
      <c r="BD60" s="35" t="n">
        <f aca="false">BD33+BD40+BD47+BD54</f>
        <v>0</v>
      </c>
      <c r="BE60" s="35" t="n">
        <f aca="false">BE33+BE40+BE47+BE54</f>
        <v>0</v>
      </c>
      <c r="BF60" s="35" t="n">
        <f aca="false">BF33+BF40+BF47+BF54</f>
        <v>0</v>
      </c>
      <c r="BG60" s="35" t="n">
        <f aca="false">BG33+BG40+BG47+BG54</f>
        <v>0</v>
      </c>
      <c r="BH60" s="35" t="n">
        <f aca="false">BH33+BH40+BH47+BH54</f>
        <v>0</v>
      </c>
      <c r="BI60" s="35" t="n">
        <f aca="false">BI33+BI40+BI47+BI54</f>
        <v>0</v>
      </c>
      <c r="BJ60" s="35" t="n">
        <f aca="false">BJ33+BJ40+BJ47+BJ54</f>
        <v>0</v>
      </c>
      <c r="BK60" s="35" t="n">
        <f aca="false">BK33+BK40+BK47+BK54</f>
        <v>0</v>
      </c>
      <c r="BL60" s="35" t="n">
        <f aca="false">BL33+BL40+BL47+BL54</f>
        <v>0</v>
      </c>
      <c r="BM60" s="35" t="n">
        <f aca="false">BM33+BM40+BM47+BM54</f>
        <v>0</v>
      </c>
      <c r="BN60" s="35" t="n">
        <f aca="false">BN33+BN40+BN47+BN54</f>
        <v>0</v>
      </c>
      <c r="BO60" s="35" t="n">
        <f aca="false">BO33+BO40+BO47+BO54</f>
        <v>0</v>
      </c>
    </row>
    <row r="61" customFormat="false" ht="15" hidden="false" customHeight="false" outlineLevel="0" collapsed="false">
      <c r="B61" s="8" t="s">
        <v>419</v>
      </c>
      <c r="C61" s="35" t="n">
        <f aca="false">C34+C41+C48+C55</f>
        <v>1458.33333333333</v>
      </c>
      <c r="D61" s="35" t="n">
        <f aca="false">D34+D41+D48+D55</f>
        <v>5125</v>
      </c>
      <c r="E61" s="35" t="n">
        <f aca="false">E34+E41+E48+E55</f>
        <v>13245.4426666667</v>
      </c>
      <c r="F61" s="35" t="n">
        <f aca="false">F34+F41+F48+F55</f>
        <v>13245.4426666667</v>
      </c>
      <c r="G61" s="35" t="n">
        <f aca="false">G34+G41+G48+G55</f>
        <v>13245.4426666667</v>
      </c>
      <c r="H61" s="35" t="n">
        <f aca="false">H34+H41+H48+H55</f>
        <v>13245.4426666667</v>
      </c>
      <c r="I61" s="35" t="n">
        <f aca="false">I34+I41+I48+I55</f>
        <v>13245.4426666667</v>
      </c>
      <c r="J61" s="35" t="n">
        <f aca="false">J34+J41+J48+J55</f>
        <v>13245.4426666667</v>
      </c>
      <c r="K61" s="35" t="n">
        <f aca="false">K34+K41+K48+K55</f>
        <v>13245.4426666667</v>
      </c>
      <c r="L61" s="35" t="n">
        <f aca="false">L34+L41+L48+L55</f>
        <v>13245.4426666667</v>
      </c>
      <c r="M61" s="35" t="n">
        <f aca="false">M34+M41+M48+M55</f>
        <v>13245.4426666667</v>
      </c>
      <c r="N61" s="35" t="n">
        <f aca="false">N34+N41+N48+N55</f>
        <v>13245.4426666667</v>
      </c>
      <c r="O61" s="35" t="n">
        <f aca="false">O34+O41+O48+O55</f>
        <v>13245.4426666667</v>
      </c>
      <c r="P61" s="35" t="n">
        <f aca="false">P34+P41+P48+P55</f>
        <v>13245.4426666667</v>
      </c>
      <c r="Q61" s="35" t="n">
        <f aca="false">Q34+Q41+Q48+Q55</f>
        <v>13245.4426666667</v>
      </c>
      <c r="R61" s="35" t="n">
        <f aca="false">R34+R41+R48+R55</f>
        <v>13245.4426666667</v>
      </c>
      <c r="S61" s="35" t="n">
        <f aca="false">S34+S41+S48+S55</f>
        <v>13245.4426666667</v>
      </c>
      <c r="T61" s="35" t="n">
        <f aca="false">T34+T41+T48+T55</f>
        <v>13245.4426666667</v>
      </c>
      <c r="U61" s="35" t="n">
        <f aca="false">U34+U41+U48+U55</f>
        <v>13245.4426666667</v>
      </c>
      <c r="V61" s="35" t="n">
        <f aca="false">V34+V41+V48+V55</f>
        <v>13245.4426666667</v>
      </c>
      <c r="W61" s="35" t="n">
        <f aca="false">W34+W41+W48+W55</f>
        <v>13245.4426666667</v>
      </c>
      <c r="X61" s="35" t="n">
        <f aca="false">X34+X41+X48+X55</f>
        <v>13245.4426666667</v>
      </c>
      <c r="Y61" s="35" t="n">
        <f aca="false">Y34+Y41+Y48+Y55</f>
        <v>13245.4426666667</v>
      </c>
      <c r="Z61" s="35" t="n">
        <f aca="false">Z34+Z41+Z48+Z55</f>
        <v>13245.4426666667</v>
      </c>
      <c r="AA61" s="35" t="n">
        <f aca="false">AA34+AA41+AA48+AA55</f>
        <v>13245.4426666667</v>
      </c>
      <c r="AB61" s="35" t="n">
        <f aca="false">AB34+AB41+AB48+AB55</f>
        <v>13245.4426666667</v>
      </c>
      <c r="AC61" s="35" t="n">
        <f aca="false">AC34+AC41+AC48+AC55</f>
        <v>13235.4600277778</v>
      </c>
      <c r="AD61" s="35" t="n">
        <f aca="false">AD34+AD41+AD48+AD55</f>
        <v>13225.4773888889</v>
      </c>
      <c r="AE61" s="35" t="n">
        <f aca="false">AE34+AE41+AE48+AE55</f>
        <v>13215.49475</v>
      </c>
      <c r="AF61" s="35" t="n">
        <f aca="false">AF34+AF41+AF48+AF55</f>
        <v>13205.5121111111</v>
      </c>
      <c r="AG61" s="35" t="n">
        <f aca="false">AG34+AG41+AG48+AG55</f>
        <v>13195.5294722222</v>
      </c>
      <c r="AH61" s="35" t="n">
        <f aca="false">AH34+AH41+AH48+AH55</f>
        <v>13185.5468333333</v>
      </c>
      <c r="AI61" s="35" t="n">
        <f aca="false">AI34+AI41+AI48+AI55</f>
        <v>13175.5641944444</v>
      </c>
      <c r="AJ61" s="35" t="n">
        <f aca="false">AJ34+AJ41+AJ48+AJ55</f>
        <v>13165.5815555556</v>
      </c>
      <c r="AK61" s="35" t="n">
        <f aca="false">AK34+AK41+AK48+AK55</f>
        <v>13155.5989166667</v>
      </c>
      <c r="AL61" s="35" t="n">
        <f aca="false">AL34+AL41+AL48+AL55</f>
        <v>13145.6162777778</v>
      </c>
      <c r="AM61" s="35" t="n">
        <f aca="false">AM34+AM41+AM48+AM55</f>
        <v>13135.6336388889</v>
      </c>
      <c r="AN61" s="35" t="n">
        <f aca="false">AN34+AN41+AN48+AN55</f>
        <v>13125.651</v>
      </c>
      <c r="AO61" s="35" t="n">
        <f aca="false">AO34+AO41+AO48+AO55</f>
        <v>13115.6683611111</v>
      </c>
      <c r="AP61" s="35" t="n">
        <f aca="false">AP34+AP41+AP48+AP55</f>
        <v>13065.879630719</v>
      </c>
      <c r="AQ61" s="35" t="n">
        <f aca="false">AQ34+AQ41+AQ48+AQ55</f>
        <v>13016.0909003268</v>
      </c>
      <c r="AR61" s="35" t="n">
        <f aca="false">AR34+AR41+AR48+AR55</f>
        <v>12966.3021699346</v>
      </c>
      <c r="AS61" s="35" t="n">
        <f aca="false">AS34+AS41+AS48+AS55</f>
        <v>12916.5134395425</v>
      </c>
      <c r="AT61" s="35" t="n">
        <f aca="false">AT34+AT41+AT48+AT55</f>
        <v>12866.7247091503</v>
      </c>
      <c r="AU61" s="35" t="n">
        <f aca="false">AU34+AU41+AU48+AU55</f>
        <v>12816.9359787582</v>
      </c>
      <c r="AV61" s="35" t="n">
        <f aca="false">AV34+AV41+AV48+AV55</f>
        <v>12767.147248366</v>
      </c>
      <c r="AW61" s="35" t="n">
        <f aca="false">AW34+AW41+AW48+AW55</f>
        <v>12717.3585179739</v>
      </c>
      <c r="AX61" s="35" t="n">
        <f aca="false">AX34+AX41+AX48+AX55</f>
        <v>12667.5697875817</v>
      </c>
      <c r="AY61" s="35" t="n">
        <f aca="false">AY34+AY41+AY48+AY55</f>
        <v>12617.7810571895</v>
      </c>
      <c r="AZ61" s="35" t="n">
        <f aca="false">AZ34+AZ41+AZ48+AZ55</f>
        <v>12567.9923267974</v>
      </c>
      <c r="BA61" s="35" t="n">
        <f aca="false">BA34+BA41+BA48+BA55</f>
        <v>12518.2035964052</v>
      </c>
      <c r="BB61" s="35" t="n">
        <f aca="false">BB34+BB41+BB48+BB55</f>
        <v>12468.4148660131</v>
      </c>
      <c r="BC61" s="35" t="n">
        <f aca="false">BC34+BC41+BC48+BC55</f>
        <v>12418.6261356209</v>
      </c>
      <c r="BD61" s="35" t="n">
        <f aca="false">BD34+BD41+BD48+BD55</f>
        <v>12368.8374052288</v>
      </c>
      <c r="BE61" s="35" t="n">
        <f aca="false">BE34+BE41+BE48+BE55</f>
        <v>12319.0486748366</v>
      </c>
      <c r="BF61" s="35" t="n">
        <f aca="false">BF34+BF41+BF48+BF55</f>
        <v>12269.2599444445</v>
      </c>
      <c r="BG61" s="35" t="n">
        <f aca="false">BG34+BG41+BG48+BG55</f>
        <v>12219.4712140523</v>
      </c>
      <c r="BH61" s="35" t="n">
        <f aca="false">BH34+BH41+BH48+BH55</f>
        <v>12169.6824836601</v>
      </c>
      <c r="BI61" s="35" t="n">
        <f aca="false">BI34+BI41+BI48+BI55</f>
        <v>12119.893753268</v>
      </c>
      <c r="BJ61" s="35" t="n">
        <f aca="false">BJ34+BJ41+BJ48+BJ55</f>
        <v>12070.1050228758</v>
      </c>
      <c r="BK61" s="35" t="n">
        <f aca="false">BK34+BK41+BK48+BK55</f>
        <v>12020.3162924837</v>
      </c>
      <c r="BL61" s="35" t="n">
        <f aca="false">BL34+BL41+BL48+BL55</f>
        <v>11970.5275620915</v>
      </c>
      <c r="BM61" s="35" t="n">
        <f aca="false">BM34+BM41+BM48+BM55</f>
        <v>11898.1693872549</v>
      </c>
      <c r="BN61" s="35" t="n">
        <f aca="false">BN34+BN41+BN48+BN55</f>
        <v>11825.8112124183</v>
      </c>
      <c r="BO61" s="35" t="n">
        <f aca="false">BO34+BO41+BO48+BO55</f>
        <v>11753.4530375817</v>
      </c>
    </row>
    <row r="62" customFormat="false" ht="15" hidden="false" customHeight="false" outlineLevel="0" collapsed="false">
      <c r="B62" s="8" t="s">
        <v>420</v>
      </c>
      <c r="C62" s="35" t="n">
        <f aca="false">C35+C42+C49+C56</f>
        <v>0</v>
      </c>
      <c r="D62" s="35" t="n">
        <f aca="false">D35+D42+D49+D56</f>
        <v>0</v>
      </c>
      <c r="E62" s="35" t="n">
        <f aca="false">E35+E42+E49+E56</f>
        <v>0</v>
      </c>
      <c r="F62" s="35" t="n">
        <f aca="false">F35+F42+F49+F56</f>
        <v>0</v>
      </c>
      <c r="G62" s="35" t="n">
        <f aca="false">G35+G42+G49+G56</f>
        <v>0</v>
      </c>
      <c r="H62" s="35" t="n">
        <f aca="false">H35+H42+H49+H56</f>
        <v>0</v>
      </c>
      <c r="I62" s="35" t="n">
        <f aca="false">I35+I42+I49+I56</f>
        <v>0</v>
      </c>
      <c r="J62" s="35" t="n">
        <f aca="false">J35+J42+J49+J56</f>
        <v>0</v>
      </c>
      <c r="K62" s="35" t="n">
        <f aca="false">K35+K42+K49+K56</f>
        <v>0</v>
      </c>
      <c r="L62" s="35" t="n">
        <f aca="false">L35+L42+L49+L56</f>
        <v>0</v>
      </c>
      <c r="M62" s="35" t="n">
        <f aca="false">M35+M42+M49+M56</f>
        <v>0</v>
      </c>
      <c r="N62" s="35" t="n">
        <f aca="false">N35+N42+N49+N56</f>
        <v>0</v>
      </c>
      <c r="O62" s="35" t="n">
        <f aca="false">O35+O42+O49+O56</f>
        <v>0</v>
      </c>
      <c r="P62" s="35" t="n">
        <f aca="false">P35+P42+P49+P56</f>
        <v>0</v>
      </c>
      <c r="Q62" s="35" t="n">
        <f aca="false">Q35+Q42+Q49+Q56</f>
        <v>0</v>
      </c>
      <c r="R62" s="35" t="n">
        <f aca="false">R35+R42+R49+R56</f>
        <v>0</v>
      </c>
      <c r="S62" s="35" t="n">
        <f aca="false">S35+S42+S49+S56</f>
        <v>0</v>
      </c>
      <c r="T62" s="35" t="n">
        <f aca="false">T35+T42+T49+T56</f>
        <v>0</v>
      </c>
      <c r="U62" s="35" t="n">
        <f aca="false">U35+U42+U49+U56</f>
        <v>0</v>
      </c>
      <c r="V62" s="35" t="n">
        <f aca="false">V35+V42+V49+V56</f>
        <v>0</v>
      </c>
      <c r="W62" s="35" t="n">
        <f aca="false">W35+W42+W49+W56</f>
        <v>0</v>
      </c>
      <c r="X62" s="35" t="n">
        <f aca="false">X35+X42+X49+X56</f>
        <v>0</v>
      </c>
      <c r="Y62" s="35" t="n">
        <f aca="false">Y35+Y42+Y49+Y56</f>
        <v>0</v>
      </c>
      <c r="Z62" s="35" t="n">
        <f aca="false">Z35+Z42+Z49+Z56</f>
        <v>0</v>
      </c>
      <c r="AA62" s="35" t="n">
        <f aca="false">AA35+AA42+AA49+AA56</f>
        <v>0</v>
      </c>
      <c r="AB62" s="35" t="n">
        <f aca="false">AB35+AB42+AB49+AB56</f>
        <v>2083.33333333333</v>
      </c>
      <c r="AC62" s="35" t="n">
        <f aca="false">AC35+AC42+AC49+AC56</f>
        <v>2083.33333333333</v>
      </c>
      <c r="AD62" s="35" t="n">
        <f aca="false">AD35+AD42+AD49+AD56</f>
        <v>2083.33333333333</v>
      </c>
      <c r="AE62" s="35" t="n">
        <f aca="false">AE35+AE42+AE49+AE56</f>
        <v>2083.33333333333</v>
      </c>
      <c r="AF62" s="35" t="n">
        <f aca="false">AF35+AF42+AF49+AF56</f>
        <v>2083.33333333333</v>
      </c>
      <c r="AG62" s="35" t="n">
        <f aca="false">AG35+AG42+AG49+AG56</f>
        <v>2083.33333333333</v>
      </c>
      <c r="AH62" s="35" t="n">
        <f aca="false">AH35+AH42+AH49+AH56</f>
        <v>2083.33333333333</v>
      </c>
      <c r="AI62" s="35" t="n">
        <f aca="false">AI35+AI42+AI49+AI56</f>
        <v>2083.33333333333</v>
      </c>
      <c r="AJ62" s="35" t="n">
        <f aca="false">AJ35+AJ42+AJ49+AJ56</f>
        <v>2083.33333333333</v>
      </c>
      <c r="AK62" s="35" t="n">
        <f aca="false">AK35+AK42+AK49+AK56</f>
        <v>2083.33333333333</v>
      </c>
      <c r="AL62" s="35" t="n">
        <f aca="false">AL35+AL42+AL49+AL56</f>
        <v>2083.33333333333</v>
      </c>
      <c r="AM62" s="35" t="n">
        <f aca="false">AM35+AM42+AM49+AM56</f>
        <v>2083.33333333333</v>
      </c>
      <c r="AN62" s="35" t="n">
        <f aca="false">AN35+AN42+AN49+AN56</f>
        <v>2083.33333333333</v>
      </c>
      <c r="AO62" s="35" t="n">
        <f aca="false">AO35+AO42+AO49+AO56</f>
        <v>9546.97549019608</v>
      </c>
      <c r="AP62" s="35" t="n">
        <f aca="false">AP35+AP42+AP49+AP56</f>
        <v>9546.97549019608</v>
      </c>
      <c r="AQ62" s="35" t="n">
        <f aca="false">AQ35+AQ42+AQ49+AQ56</f>
        <v>9546.97549019608</v>
      </c>
      <c r="AR62" s="35" t="n">
        <f aca="false">AR35+AR42+AR49+AR56</f>
        <v>9546.97549019608</v>
      </c>
      <c r="AS62" s="35" t="n">
        <f aca="false">AS35+AS42+AS49+AS56</f>
        <v>9546.97549019608</v>
      </c>
      <c r="AT62" s="35" t="n">
        <f aca="false">AT35+AT42+AT49+AT56</f>
        <v>9546.97549019608</v>
      </c>
      <c r="AU62" s="35" t="n">
        <f aca="false">AU35+AU42+AU49+AU56</f>
        <v>9546.97549019608</v>
      </c>
      <c r="AV62" s="35" t="n">
        <f aca="false">AV35+AV42+AV49+AV56</f>
        <v>9546.97549019608</v>
      </c>
      <c r="AW62" s="35" t="n">
        <f aca="false">AW35+AW42+AW49+AW56</f>
        <v>9546.97549019608</v>
      </c>
      <c r="AX62" s="35" t="n">
        <f aca="false">AX35+AX42+AX49+AX56</f>
        <v>9546.97549019608</v>
      </c>
      <c r="AY62" s="35" t="n">
        <f aca="false">AY35+AY42+AY49+AY56</f>
        <v>9546.97549019608</v>
      </c>
      <c r="AZ62" s="35" t="n">
        <f aca="false">AZ35+AZ42+AZ49+AZ56</f>
        <v>9546.97549019608</v>
      </c>
      <c r="BA62" s="35" t="n">
        <f aca="false">BA35+BA42+BA49+BA56</f>
        <v>9546.97549019608</v>
      </c>
      <c r="BB62" s="35" t="n">
        <f aca="false">BB35+BB42+BB49+BB56</f>
        <v>9546.97549019608</v>
      </c>
      <c r="BC62" s="35" t="n">
        <f aca="false">BC35+BC42+BC49+BC56</f>
        <v>9546.97549019608</v>
      </c>
      <c r="BD62" s="35" t="n">
        <f aca="false">BD35+BD42+BD49+BD56</f>
        <v>9546.97549019608</v>
      </c>
      <c r="BE62" s="35" t="n">
        <f aca="false">BE35+BE42+BE49+BE56</f>
        <v>9546.97549019608</v>
      </c>
      <c r="BF62" s="35" t="n">
        <f aca="false">BF35+BF42+BF49+BF56</f>
        <v>9546.97549019608</v>
      </c>
      <c r="BG62" s="35" t="n">
        <f aca="false">BG35+BG42+BG49+BG56</f>
        <v>9546.97549019608</v>
      </c>
      <c r="BH62" s="35" t="n">
        <f aca="false">BH35+BH42+BH49+BH56</f>
        <v>9546.97549019608</v>
      </c>
      <c r="BI62" s="35" t="n">
        <f aca="false">BI35+BI42+BI49+BI56</f>
        <v>9546.97549019608</v>
      </c>
      <c r="BJ62" s="35" t="n">
        <f aca="false">BJ35+BJ42+BJ49+BJ56</f>
        <v>9546.97549019608</v>
      </c>
      <c r="BK62" s="35" t="n">
        <f aca="false">BK35+BK42+BK49+BK56</f>
        <v>9546.97549019608</v>
      </c>
      <c r="BL62" s="35" t="n">
        <f aca="false">BL35+BL42+BL49+BL56</f>
        <v>13713.6421568627</v>
      </c>
      <c r="BM62" s="35" t="n">
        <f aca="false">BM35+BM42+BM49+BM56</f>
        <v>13713.6421568627</v>
      </c>
      <c r="BN62" s="35" t="n">
        <f aca="false">BN35+BN42+BN49+BN56</f>
        <v>13713.6421568627</v>
      </c>
      <c r="BO62" s="35" t="n">
        <f aca="false">BO35+BO42+BO49+BO56</f>
        <v>13713.6421568627</v>
      </c>
    </row>
    <row r="63" customFormat="false" ht="15" hidden="false" customHeight="false" outlineLevel="0" collapsed="false">
      <c r="B63" s="8" t="s">
        <v>421</v>
      </c>
      <c r="C63" s="35" t="n">
        <f aca="false">C61+C62</f>
        <v>1458.33333333333</v>
      </c>
      <c r="D63" s="35" t="n">
        <f aca="false">D61+D62</f>
        <v>5125</v>
      </c>
      <c r="E63" s="35" t="n">
        <f aca="false">E61+E62</f>
        <v>13245.4426666667</v>
      </c>
      <c r="F63" s="35" t="n">
        <f aca="false">F61+F62</f>
        <v>13245.4426666667</v>
      </c>
      <c r="G63" s="35" t="n">
        <f aca="false">G61+G62</f>
        <v>13245.4426666667</v>
      </c>
      <c r="H63" s="35" t="n">
        <f aca="false">H61+H62</f>
        <v>13245.4426666667</v>
      </c>
      <c r="I63" s="35" t="n">
        <f aca="false">I61+I62</f>
        <v>13245.4426666667</v>
      </c>
      <c r="J63" s="35" t="n">
        <f aca="false">J61+J62</f>
        <v>13245.4426666667</v>
      </c>
      <c r="K63" s="35" t="n">
        <f aca="false">K61+K62</f>
        <v>13245.4426666667</v>
      </c>
      <c r="L63" s="35" t="n">
        <f aca="false">L61+L62</f>
        <v>13245.4426666667</v>
      </c>
      <c r="M63" s="35" t="n">
        <f aca="false">M61+M62</f>
        <v>13245.4426666667</v>
      </c>
      <c r="N63" s="35" t="n">
        <f aca="false">N61+N62</f>
        <v>13245.4426666667</v>
      </c>
      <c r="O63" s="35" t="n">
        <f aca="false">O61+O62</f>
        <v>13245.4426666667</v>
      </c>
      <c r="P63" s="35" t="n">
        <f aca="false">P61+P62</f>
        <v>13245.4426666667</v>
      </c>
      <c r="Q63" s="35" t="n">
        <f aca="false">Q61+Q62</f>
        <v>13245.4426666667</v>
      </c>
      <c r="R63" s="35" t="n">
        <f aca="false">R61+R62</f>
        <v>13245.4426666667</v>
      </c>
      <c r="S63" s="35" t="n">
        <f aca="false">S61+S62</f>
        <v>13245.4426666667</v>
      </c>
      <c r="T63" s="35" t="n">
        <f aca="false">T61+T62</f>
        <v>13245.4426666667</v>
      </c>
      <c r="U63" s="35" t="n">
        <f aca="false">U61+U62</f>
        <v>13245.4426666667</v>
      </c>
      <c r="V63" s="35" t="n">
        <f aca="false">V61+V62</f>
        <v>13245.4426666667</v>
      </c>
      <c r="W63" s="35" t="n">
        <f aca="false">W61+W62</f>
        <v>13245.4426666667</v>
      </c>
      <c r="X63" s="35" t="n">
        <f aca="false">X61+X62</f>
        <v>13245.4426666667</v>
      </c>
      <c r="Y63" s="35" t="n">
        <f aca="false">Y61+Y62</f>
        <v>13245.4426666667</v>
      </c>
      <c r="Z63" s="35" t="n">
        <f aca="false">Z61+Z62</f>
        <v>13245.4426666667</v>
      </c>
      <c r="AA63" s="35" t="n">
        <f aca="false">AA61+AA62</f>
        <v>13245.4426666667</v>
      </c>
      <c r="AB63" s="35" t="n">
        <f aca="false">AB61+AB62</f>
        <v>15328.776</v>
      </c>
      <c r="AC63" s="35" t="n">
        <f aca="false">AC61+AC62</f>
        <v>15318.7933611111</v>
      </c>
      <c r="AD63" s="35" t="n">
        <f aca="false">AD61+AD62</f>
        <v>15308.8107222222</v>
      </c>
      <c r="AE63" s="35" t="n">
        <f aca="false">AE61+AE62</f>
        <v>15298.8280833333</v>
      </c>
      <c r="AF63" s="35" t="n">
        <f aca="false">AF61+AF62</f>
        <v>15288.8454444444</v>
      </c>
      <c r="AG63" s="35" t="n">
        <f aca="false">AG61+AG62</f>
        <v>15278.8628055556</v>
      </c>
      <c r="AH63" s="35" t="n">
        <f aca="false">AH61+AH62</f>
        <v>15268.8801666667</v>
      </c>
      <c r="AI63" s="35" t="n">
        <f aca="false">AI61+AI62</f>
        <v>15258.8975277778</v>
      </c>
      <c r="AJ63" s="35" t="n">
        <f aca="false">AJ61+AJ62</f>
        <v>15248.9148888889</v>
      </c>
      <c r="AK63" s="35" t="n">
        <f aca="false">AK61+AK62</f>
        <v>15238.93225</v>
      </c>
      <c r="AL63" s="35" t="n">
        <f aca="false">AL61+AL62</f>
        <v>15228.9496111111</v>
      </c>
      <c r="AM63" s="35" t="n">
        <f aca="false">AM61+AM62</f>
        <v>15218.9669722222</v>
      </c>
      <c r="AN63" s="35" t="n">
        <f aca="false">AN61+AN62</f>
        <v>15208.9843333333</v>
      </c>
      <c r="AO63" s="35" t="n">
        <f aca="false">AO61+AO62</f>
        <v>22662.6438513072</v>
      </c>
      <c r="AP63" s="35" t="n">
        <f aca="false">AP61+AP62</f>
        <v>22612.855120915</v>
      </c>
      <c r="AQ63" s="35" t="n">
        <f aca="false">AQ61+AQ62</f>
        <v>22563.0663905229</v>
      </c>
      <c r="AR63" s="35" t="n">
        <f aca="false">AR61+AR62</f>
        <v>22513.2776601307</v>
      </c>
      <c r="AS63" s="35" t="n">
        <f aca="false">AS61+AS62</f>
        <v>22463.4889297386</v>
      </c>
      <c r="AT63" s="35" t="n">
        <f aca="false">AT61+AT62</f>
        <v>22413.7001993464</v>
      </c>
      <c r="AU63" s="35" t="n">
        <f aca="false">AU61+AU62</f>
        <v>22363.9114689543</v>
      </c>
      <c r="AV63" s="35" t="n">
        <f aca="false">AV61+AV62</f>
        <v>22314.1227385621</v>
      </c>
      <c r="AW63" s="35" t="n">
        <f aca="false">AW61+AW62</f>
        <v>22264.3340081699</v>
      </c>
      <c r="AX63" s="35" t="n">
        <f aca="false">AX61+AX62</f>
        <v>22214.5452777778</v>
      </c>
      <c r="AY63" s="35" t="n">
        <f aca="false">AY61+AY62</f>
        <v>22164.7565473856</v>
      </c>
      <c r="AZ63" s="35" t="n">
        <f aca="false">AZ61+AZ62</f>
        <v>22114.9678169935</v>
      </c>
      <c r="BA63" s="35" t="n">
        <f aca="false">BA61+BA62</f>
        <v>22065.1790866013</v>
      </c>
      <c r="BB63" s="35" t="n">
        <f aca="false">BB61+BB62</f>
        <v>22015.3903562092</v>
      </c>
      <c r="BC63" s="35" t="n">
        <f aca="false">BC61+BC62</f>
        <v>21965.601625817</v>
      </c>
      <c r="BD63" s="35" t="n">
        <f aca="false">BD61+BD62</f>
        <v>21915.8128954248</v>
      </c>
      <c r="BE63" s="35" t="n">
        <f aca="false">BE61+BE62</f>
        <v>21866.0241650327</v>
      </c>
      <c r="BF63" s="35" t="n">
        <f aca="false">BF61+BF62</f>
        <v>21816.2354346405</v>
      </c>
      <c r="BG63" s="35" t="n">
        <f aca="false">BG61+BG62</f>
        <v>21766.4467042484</v>
      </c>
      <c r="BH63" s="35" t="n">
        <f aca="false">BH61+BH62</f>
        <v>21716.6579738562</v>
      </c>
      <c r="BI63" s="35" t="n">
        <f aca="false">BI61+BI62</f>
        <v>21666.8692434641</v>
      </c>
      <c r="BJ63" s="35" t="n">
        <f aca="false">BJ61+BJ62</f>
        <v>21617.0805130719</v>
      </c>
      <c r="BK63" s="35" t="n">
        <f aca="false">BK61+BK62</f>
        <v>21567.2917826798</v>
      </c>
      <c r="BL63" s="35" t="n">
        <f aca="false">BL61+BL62</f>
        <v>25684.1697189543</v>
      </c>
      <c r="BM63" s="35" t="n">
        <f aca="false">BM61+BM62</f>
        <v>25611.8115441177</v>
      </c>
      <c r="BN63" s="35" t="n">
        <f aca="false">BN61+BN62</f>
        <v>25539.4533692811</v>
      </c>
      <c r="BO63" s="35" t="n">
        <f aca="false">BO61+BO62</f>
        <v>25467.0951944445</v>
      </c>
    </row>
    <row r="64" customFormat="false" ht="15" hidden="false" customHeight="false" outlineLevel="0" collapsed="false">
      <c r="B64" s="8" t="s">
        <v>422</v>
      </c>
      <c r="C64" s="35" t="n">
        <f aca="false">C36+C43+C50+C57</f>
        <v>250000</v>
      </c>
      <c r="D64" s="35" t="n">
        <f aca="false">D36+D43+D50+D57</f>
        <v>950000</v>
      </c>
      <c r="E64" s="35" t="n">
        <f aca="false">E36+E43+E50+E57</f>
        <v>2472583</v>
      </c>
      <c r="F64" s="35" t="n">
        <f aca="false">F36+F43+F50+F57</f>
        <v>2472583</v>
      </c>
      <c r="G64" s="35" t="n">
        <f aca="false">G36+G43+G50+G57</f>
        <v>2472583</v>
      </c>
      <c r="H64" s="35" t="n">
        <f aca="false">H36+H43+H50+H57</f>
        <v>2472583</v>
      </c>
      <c r="I64" s="35" t="n">
        <f aca="false">I36+I43+I50+I57</f>
        <v>2472583</v>
      </c>
      <c r="J64" s="35" t="n">
        <f aca="false">J36+J43+J50+J57</f>
        <v>2472583</v>
      </c>
      <c r="K64" s="35" t="n">
        <f aca="false">K36+K43+K50+K57</f>
        <v>2472583</v>
      </c>
      <c r="L64" s="35" t="n">
        <f aca="false">L36+L43+L50+L57</f>
        <v>2472583</v>
      </c>
      <c r="M64" s="35" t="n">
        <f aca="false">M36+M43+M50+M57</f>
        <v>2472583</v>
      </c>
      <c r="N64" s="35" t="n">
        <f aca="false">N36+N43+N50+N57</f>
        <v>2472583</v>
      </c>
      <c r="O64" s="35" t="n">
        <f aca="false">O36+O43+O50+O57</f>
        <v>2472583</v>
      </c>
      <c r="P64" s="35" t="n">
        <f aca="false">P36+P43+P50+P57</f>
        <v>2472583</v>
      </c>
      <c r="Q64" s="35" t="n">
        <f aca="false">Q36+Q43+Q50+Q57</f>
        <v>2472583</v>
      </c>
      <c r="R64" s="35" t="n">
        <f aca="false">R36+R43+R50+R57</f>
        <v>2472583</v>
      </c>
      <c r="S64" s="35" t="n">
        <f aca="false">S36+S43+S50+S57</f>
        <v>2472583</v>
      </c>
      <c r="T64" s="35" t="n">
        <f aca="false">T36+T43+T50+T57</f>
        <v>2472583</v>
      </c>
      <c r="U64" s="35" t="n">
        <f aca="false">U36+U43+U50+U57</f>
        <v>2472583</v>
      </c>
      <c r="V64" s="35" t="n">
        <f aca="false">V36+V43+V50+V57</f>
        <v>2472583</v>
      </c>
      <c r="W64" s="35" t="n">
        <f aca="false">W36+W43+W50+W57</f>
        <v>2472583</v>
      </c>
      <c r="X64" s="35" t="n">
        <f aca="false">X36+X43+X50+X57</f>
        <v>2472583</v>
      </c>
      <c r="Y64" s="35" t="n">
        <f aca="false">Y36+Y43+Y50+Y57</f>
        <v>2472583</v>
      </c>
      <c r="Z64" s="35" t="n">
        <f aca="false">Z36+Z43+Z50+Z57</f>
        <v>2472583</v>
      </c>
      <c r="AA64" s="35" t="n">
        <f aca="false">AA36+AA43+AA50+AA57</f>
        <v>2472583</v>
      </c>
      <c r="AB64" s="35" t="n">
        <f aca="false">AB36+AB43+AB50+AB57</f>
        <v>2470499.66666667</v>
      </c>
      <c r="AC64" s="35" t="n">
        <f aca="false">AC36+AC43+AC50+AC57</f>
        <v>2468416.33333333</v>
      </c>
      <c r="AD64" s="35" t="n">
        <f aca="false">AD36+AD43+AD50+AD57</f>
        <v>2466333</v>
      </c>
      <c r="AE64" s="35" t="n">
        <f aca="false">AE36+AE43+AE50+AE57</f>
        <v>2464249.66666667</v>
      </c>
      <c r="AF64" s="35" t="n">
        <f aca="false">AF36+AF43+AF50+AF57</f>
        <v>2462166.33333333</v>
      </c>
      <c r="AG64" s="35" t="n">
        <f aca="false">AG36+AG43+AG50+AG57</f>
        <v>2460083</v>
      </c>
      <c r="AH64" s="35" t="n">
        <f aca="false">AH36+AH43+AH50+AH57</f>
        <v>2457999.66666667</v>
      </c>
      <c r="AI64" s="35" t="n">
        <f aca="false">AI36+AI43+AI50+AI57</f>
        <v>2455916.33333333</v>
      </c>
      <c r="AJ64" s="35" t="n">
        <f aca="false">AJ36+AJ43+AJ50+AJ57</f>
        <v>2453833</v>
      </c>
      <c r="AK64" s="35" t="n">
        <f aca="false">AK36+AK43+AK50+AK57</f>
        <v>2451749.66666667</v>
      </c>
      <c r="AL64" s="35" t="n">
        <f aca="false">AL36+AL43+AL50+AL57</f>
        <v>2449666.33333333</v>
      </c>
      <c r="AM64" s="35" t="n">
        <f aca="false">AM36+AM43+AM50+AM57</f>
        <v>2447583</v>
      </c>
      <c r="AN64" s="35" t="n">
        <f aca="false">AN36+AN43+AN50+AN57</f>
        <v>2445499.66666667</v>
      </c>
      <c r="AO64" s="35" t="n">
        <f aca="false">AO36+AO43+AO50+AO57</f>
        <v>2435952.69117647</v>
      </c>
      <c r="AP64" s="35" t="n">
        <f aca="false">AP36+AP43+AP50+AP57</f>
        <v>2426405.71568627</v>
      </c>
      <c r="AQ64" s="35" t="n">
        <f aca="false">AQ36+AQ43+AQ50+AQ57</f>
        <v>2416858.74019608</v>
      </c>
      <c r="AR64" s="35" t="n">
        <f aca="false">AR36+AR43+AR50+AR57</f>
        <v>2407311.76470588</v>
      </c>
      <c r="AS64" s="35" t="n">
        <f aca="false">AS36+AS43+AS50+AS57</f>
        <v>2397764.78921569</v>
      </c>
      <c r="AT64" s="35" t="n">
        <f aca="false">AT36+AT43+AT50+AT57</f>
        <v>2388217.81372549</v>
      </c>
      <c r="AU64" s="35" t="n">
        <f aca="false">AU36+AU43+AU50+AU57</f>
        <v>2378670.83823529</v>
      </c>
      <c r="AV64" s="35" t="n">
        <f aca="false">AV36+AV43+AV50+AV57</f>
        <v>2369123.8627451</v>
      </c>
      <c r="AW64" s="35" t="n">
        <f aca="false">AW36+AW43+AW50+AW57</f>
        <v>2359576.8872549</v>
      </c>
      <c r="AX64" s="35" t="n">
        <f aca="false">AX36+AX43+AX50+AX57</f>
        <v>2350029.91176471</v>
      </c>
      <c r="AY64" s="35" t="n">
        <f aca="false">AY36+AY43+AY50+AY57</f>
        <v>2340482.93627451</v>
      </c>
      <c r="AZ64" s="35" t="n">
        <f aca="false">AZ36+AZ43+AZ50+AZ57</f>
        <v>2330935.96078431</v>
      </c>
      <c r="BA64" s="35" t="n">
        <f aca="false">BA36+BA43+BA50+BA57</f>
        <v>2321388.98529412</v>
      </c>
      <c r="BB64" s="35" t="n">
        <f aca="false">BB36+BB43+BB50+BB57</f>
        <v>2311842.00980392</v>
      </c>
      <c r="BC64" s="35" t="n">
        <f aca="false">BC36+BC43+BC50+BC57</f>
        <v>2302295.03431373</v>
      </c>
      <c r="BD64" s="35" t="n">
        <f aca="false">BD36+BD43+BD50+BD57</f>
        <v>2292748.05882353</v>
      </c>
      <c r="BE64" s="35" t="n">
        <f aca="false">BE36+BE43+BE50+BE57</f>
        <v>2283201.08333334</v>
      </c>
      <c r="BF64" s="35" t="n">
        <f aca="false">BF36+BF43+BF50+BF57</f>
        <v>2273654.10784314</v>
      </c>
      <c r="BG64" s="35" t="n">
        <f aca="false">BG36+BG43+BG50+BG57</f>
        <v>2264107.13235294</v>
      </c>
      <c r="BH64" s="35" t="n">
        <f aca="false">BH36+BH43+BH50+BH57</f>
        <v>2254560.15686275</v>
      </c>
      <c r="BI64" s="35" t="n">
        <f aca="false">BI36+BI43+BI50+BI57</f>
        <v>2245013.18137255</v>
      </c>
      <c r="BJ64" s="35" t="n">
        <f aca="false">BJ36+BJ43+BJ50+BJ57</f>
        <v>2235466.20588235</v>
      </c>
      <c r="BK64" s="35" t="n">
        <f aca="false">BK36+BK43+BK50+BK57</f>
        <v>2225919.23039216</v>
      </c>
      <c r="BL64" s="35" t="n">
        <f aca="false">BL36+BL43+BL50+BL57</f>
        <v>2212205.5882353</v>
      </c>
      <c r="BM64" s="35" t="n">
        <f aca="false">BM36+BM43+BM50+BM57</f>
        <v>2198491.94607843</v>
      </c>
      <c r="BN64" s="35" t="n">
        <f aca="false">BN36+BN43+BN50+BN57</f>
        <v>2184778.30392157</v>
      </c>
      <c r="BO64" s="35" t="n">
        <f aca="false">BO36+BO43+BO50+BO57</f>
        <v>2171064.66176471</v>
      </c>
    </row>
    <row r="66" customFormat="false" ht="15" hidden="false" customHeight="false" outlineLevel="0" collapsed="false">
      <c r="B66" s="4" t="s">
        <v>423</v>
      </c>
    </row>
    <row r="67" customFormat="false" ht="15" hidden="false" customHeight="false" outlineLevel="0" collapsed="false">
      <c r="B67" s="30" t="s">
        <v>337</v>
      </c>
      <c r="C67" s="31" t="n">
        <v>1</v>
      </c>
      <c r="D67" s="31" t="n">
        <v>2</v>
      </c>
      <c r="E67" s="31" t="n">
        <v>3</v>
      </c>
      <c r="F67" s="31" t="n">
        <v>4</v>
      </c>
      <c r="G67" s="31" t="n">
        <v>5</v>
      </c>
    </row>
    <row r="68" customFormat="false" ht="15" hidden="false" customHeight="false" outlineLevel="0" collapsed="false">
      <c r="B68" s="2" t="s">
        <v>414</v>
      </c>
      <c r="C68" s="25" t="n">
        <f aca="false">SUMIF(Fz_Jahr,C67,Fz_Zins)</f>
        <v>205264.973333333</v>
      </c>
      <c r="D68" s="25" t="n">
        <f aca="false">SUMIF(Fz_Jahr,D67,Fz_Zins)</f>
        <v>158885.416166667</v>
      </c>
      <c r="E68" s="25" t="n">
        <f aca="false">SUMIF(Fz_Jahr,E67,Fz_Zins)</f>
        <v>157687.872892157</v>
      </c>
      <c r="F68" s="25" t="n">
        <f aca="false">SUMIF(Fz_Jahr,F67,Fz_Zins)</f>
        <v>152309.569833333</v>
      </c>
      <c r="G68" s="25" t="n">
        <f aca="false">SUMIF(Fz_Jahr,G67,Fz_Zins)</f>
        <v>145004.575990196</v>
      </c>
    </row>
    <row r="69" customFormat="false" ht="15" hidden="false" customHeight="false" outlineLevel="0" collapsed="false">
      <c r="B69" s="2" t="s">
        <v>415</v>
      </c>
      <c r="C69" s="25" t="n">
        <f aca="false">SUMIF(Fz_Jahr,C67,Fz_Tilg)</f>
        <v>0</v>
      </c>
      <c r="D69" s="25" t="n">
        <f aca="false">SUMIF(Fz_Jahr,D67,Fz_Tilg)</f>
        <v>8333.33333333333</v>
      </c>
      <c r="E69" s="25" t="n">
        <f aca="false">SUMIF(Fz_Jahr,E67,Fz_Tilg)</f>
        <v>47390.9264705882</v>
      </c>
      <c r="F69" s="25" t="n">
        <f aca="false">SUMIF(Fz_Jahr,F67,Fz_Tilg)</f>
        <v>114563.705882353</v>
      </c>
      <c r="G69" s="25" t="n">
        <f aca="false">SUMIF(Fz_Jahr,G67,Fz_Tilg)</f>
        <v>131230.37254902</v>
      </c>
    </row>
    <row r="70" customFormat="false" ht="15" hidden="false" customHeight="false" outlineLevel="0" collapsed="false">
      <c r="B70" s="8" t="s">
        <v>424</v>
      </c>
      <c r="C70" s="35" t="n">
        <f aca="false">C68+C69</f>
        <v>205264.973333333</v>
      </c>
      <c r="D70" s="35" t="n">
        <f aca="false">D68+D69</f>
        <v>167218.7495</v>
      </c>
      <c r="E70" s="35" t="n">
        <f aca="false">E68+E69</f>
        <v>205078.799362745</v>
      </c>
      <c r="F70" s="35" t="n">
        <f aca="false">F68+F69</f>
        <v>266873.275715686</v>
      </c>
      <c r="G70" s="35" t="n">
        <f aca="false">G68+G69</f>
        <v>276234.948539216</v>
      </c>
    </row>
    <row r="71" customFormat="false" ht="15" hidden="false" customHeight="false" outlineLevel="0" collapsed="false">
      <c r="B71" s="2" t="s">
        <v>425</v>
      </c>
      <c r="C71" s="25" t="n">
        <f aca="false">INDEX(Fz_Rest,MATCH(C67*12,Fz_Monat,0))</f>
        <v>2472583</v>
      </c>
      <c r="D71" s="25" t="n">
        <f aca="false">INDEX(Fz_Rest,MATCH(D67*12,Fz_Monat,0))</f>
        <v>2464249.66666667</v>
      </c>
      <c r="E71" s="25" t="n">
        <f aca="false">INDEX(Fz_Rest,MATCH(E67*12,Fz_Monat,0))</f>
        <v>2416858.74019608</v>
      </c>
      <c r="F71" s="25" t="n">
        <f aca="false">INDEX(Fz_Rest,MATCH(F67*12,Fz_Monat,0))</f>
        <v>2302295.03431373</v>
      </c>
      <c r="G71" s="25" t="n">
        <f aca="false">INDEX(Fz_Rest,MATCH(G67*12,Fz_Monat,0))</f>
        <v>2171064.66176471</v>
      </c>
    </row>
    <row r="73" customFormat="false" ht="15" hidden="false" customHeight="false" outlineLevel="0" collapsed="false">
      <c r="B73" s="2" t="s">
        <v>426</v>
      </c>
      <c r="C73" s="25" t="n">
        <f aca="false">INDEX(Fz_Zins,MATCH(25,Fz_Monat,0))+INDEX(Fz_Tilg,MATCH(25,Fz_Monat,0))</f>
        <v>15288.8454444444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O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67" min="3" style="0" width="11"/>
  </cols>
  <sheetData>
    <row r="1" customFormat="false" ht="17.35" hidden="false" customHeight="false" outlineLevel="0" collapsed="false">
      <c r="B1" s="1" t="s">
        <v>427</v>
      </c>
    </row>
    <row r="2" customFormat="false" ht="15" hidden="false" customHeight="false" outlineLevel="0" collapsed="false">
      <c r="B2" s="3" t="s">
        <v>428</v>
      </c>
    </row>
    <row r="4" customFormat="false" ht="15" hidden="false" customHeight="false" outlineLevel="0" collapsed="false">
      <c r="B4" s="30" t="s">
        <v>211</v>
      </c>
      <c r="C4" s="31" t="n">
        <v>-5</v>
      </c>
      <c r="D4" s="31" t="n">
        <v>-4</v>
      </c>
      <c r="E4" s="31" t="n">
        <v>-3</v>
      </c>
      <c r="F4" s="31" t="n">
        <v>-2</v>
      </c>
      <c r="G4" s="31" t="n">
        <v>-1</v>
      </c>
      <c r="H4" s="31" t="n">
        <v>1</v>
      </c>
      <c r="I4" s="31" t="n">
        <v>2</v>
      </c>
      <c r="J4" s="31" t="n">
        <v>3</v>
      </c>
      <c r="K4" s="31" t="n">
        <v>4</v>
      </c>
      <c r="L4" s="31" t="n">
        <v>5</v>
      </c>
      <c r="M4" s="31" t="n">
        <v>6</v>
      </c>
      <c r="N4" s="31" t="n">
        <v>7</v>
      </c>
      <c r="O4" s="31" t="n">
        <v>8</v>
      </c>
      <c r="P4" s="31" t="n">
        <v>9</v>
      </c>
      <c r="Q4" s="31" t="n">
        <v>10</v>
      </c>
      <c r="R4" s="31" t="n">
        <v>11</v>
      </c>
      <c r="S4" s="31" t="n">
        <v>12</v>
      </c>
      <c r="T4" s="31" t="n">
        <v>13</v>
      </c>
      <c r="U4" s="31" t="n">
        <v>14</v>
      </c>
      <c r="V4" s="31" t="n">
        <v>15</v>
      </c>
      <c r="W4" s="31" t="n">
        <v>16</v>
      </c>
      <c r="X4" s="31" t="n">
        <v>17</v>
      </c>
      <c r="Y4" s="31" t="n">
        <v>18</v>
      </c>
      <c r="Z4" s="31" t="n">
        <v>19</v>
      </c>
      <c r="AA4" s="31" t="n">
        <v>20</v>
      </c>
      <c r="AB4" s="31" t="n">
        <v>21</v>
      </c>
      <c r="AC4" s="31" t="n">
        <v>22</v>
      </c>
      <c r="AD4" s="31" t="n">
        <v>23</v>
      </c>
      <c r="AE4" s="31" t="n">
        <v>24</v>
      </c>
      <c r="AF4" s="31" t="n">
        <v>25</v>
      </c>
      <c r="AG4" s="31" t="n">
        <v>26</v>
      </c>
      <c r="AH4" s="31" t="n">
        <v>27</v>
      </c>
      <c r="AI4" s="31" t="n">
        <v>28</v>
      </c>
      <c r="AJ4" s="31" t="n">
        <v>29</v>
      </c>
      <c r="AK4" s="31" t="n">
        <v>30</v>
      </c>
      <c r="AL4" s="31" t="n">
        <v>31</v>
      </c>
      <c r="AM4" s="31" t="n">
        <v>32</v>
      </c>
      <c r="AN4" s="31" t="n">
        <v>33</v>
      </c>
      <c r="AO4" s="31" t="n">
        <v>34</v>
      </c>
      <c r="AP4" s="31" t="n">
        <v>35</v>
      </c>
      <c r="AQ4" s="31" t="n">
        <v>36</v>
      </c>
      <c r="AR4" s="31" t="n">
        <v>37</v>
      </c>
      <c r="AS4" s="31" t="n">
        <v>38</v>
      </c>
      <c r="AT4" s="31" t="n">
        <v>39</v>
      </c>
      <c r="AU4" s="31" t="n">
        <v>40</v>
      </c>
      <c r="AV4" s="31" t="n">
        <v>41</v>
      </c>
      <c r="AW4" s="31" t="n">
        <v>42</v>
      </c>
      <c r="AX4" s="31" t="n">
        <v>43</v>
      </c>
      <c r="AY4" s="31" t="n">
        <v>44</v>
      </c>
      <c r="AZ4" s="31" t="n">
        <v>45</v>
      </c>
      <c r="BA4" s="31" t="n">
        <v>46</v>
      </c>
      <c r="BB4" s="31" t="n">
        <v>47</v>
      </c>
      <c r="BC4" s="31" t="n">
        <v>48</v>
      </c>
      <c r="BD4" s="31" t="n">
        <v>49</v>
      </c>
      <c r="BE4" s="31" t="n">
        <v>50</v>
      </c>
      <c r="BF4" s="31" t="n">
        <v>51</v>
      </c>
      <c r="BG4" s="31" t="n">
        <v>52</v>
      </c>
      <c r="BH4" s="31" t="n">
        <v>53</v>
      </c>
      <c r="BI4" s="31" t="n">
        <v>54</v>
      </c>
      <c r="BJ4" s="31" t="n">
        <v>55</v>
      </c>
      <c r="BK4" s="31" t="n">
        <v>56</v>
      </c>
      <c r="BL4" s="31" t="n">
        <v>57</v>
      </c>
      <c r="BM4" s="31" t="n">
        <v>58</v>
      </c>
      <c r="BN4" s="31" t="n">
        <v>59</v>
      </c>
      <c r="BO4" s="31" t="n">
        <v>60</v>
      </c>
    </row>
    <row r="5" customFormat="false" ht="15" hidden="false" customHeight="false" outlineLevel="0" collapsed="false">
      <c r="B5" s="8" t="s">
        <v>337</v>
      </c>
      <c r="C5" s="36" t="n">
        <f aca="false">IF(C4&lt;1,1,INT((C4-1)/12)+1)</f>
        <v>1</v>
      </c>
      <c r="D5" s="36" t="n">
        <f aca="false">IF(D4&lt;1,1,INT((D4-1)/12)+1)</f>
        <v>1</v>
      </c>
      <c r="E5" s="36" t="n">
        <f aca="false">IF(E4&lt;1,1,INT((E4-1)/12)+1)</f>
        <v>1</v>
      </c>
      <c r="F5" s="36" t="n">
        <f aca="false">IF(F4&lt;1,1,INT((F4-1)/12)+1)</f>
        <v>1</v>
      </c>
      <c r="G5" s="36" t="n">
        <f aca="false">IF(G4&lt;1,1,INT((G4-1)/12)+1)</f>
        <v>1</v>
      </c>
      <c r="H5" s="36" t="n">
        <f aca="false">IF(H4&lt;1,1,INT((H4-1)/12)+1)</f>
        <v>1</v>
      </c>
      <c r="I5" s="36" t="n">
        <f aca="false">IF(I4&lt;1,1,INT((I4-1)/12)+1)</f>
        <v>1</v>
      </c>
      <c r="J5" s="36" t="n">
        <f aca="false">IF(J4&lt;1,1,INT((J4-1)/12)+1)</f>
        <v>1</v>
      </c>
      <c r="K5" s="36" t="n">
        <f aca="false">IF(K4&lt;1,1,INT((K4-1)/12)+1)</f>
        <v>1</v>
      </c>
      <c r="L5" s="36" t="n">
        <f aca="false">IF(L4&lt;1,1,INT((L4-1)/12)+1)</f>
        <v>1</v>
      </c>
      <c r="M5" s="36" t="n">
        <f aca="false">IF(M4&lt;1,1,INT((M4-1)/12)+1)</f>
        <v>1</v>
      </c>
      <c r="N5" s="36" t="n">
        <f aca="false">IF(N4&lt;1,1,INT((N4-1)/12)+1)</f>
        <v>1</v>
      </c>
      <c r="O5" s="36" t="n">
        <f aca="false">IF(O4&lt;1,1,INT((O4-1)/12)+1)</f>
        <v>1</v>
      </c>
      <c r="P5" s="36" t="n">
        <f aca="false">IF(P4&lt;1,1,INT((P4-1)/12)+1)</f>
        <v>1</v>
      </c>
      <c r="Q5" s="36" t="n">
        <f aca="false">IF(Q4&lt;1,1,INT((Q4-1)/12)+1)</f>
        <v>1</v>
      </c>
      <c r="R5" s="36" t="n">
        <f aca="false">IF(R4&lt;1,1,INT((R4-1)/12)+1)</f>
        <v>1</v>
      </c>
      <c r="S5" s="36" t="n">
        <f aca="false">IF(S4&lt;1,1,INT((S4-1)/12)+1)</f>
        <v>1</v>
      </c>
      <c r="T5" s="36" t="n">
        <f aca="false">IF(T4&lt;1,1,INT((T4-1)/12)+1)</f>
        <v>2</v>
      </c>
      <c r="U5" s="36" t="n">
        <f aca="false">IF(U4&lt;1,1,INT((U4-1)/12)+1)</f>
        <v>2</v>
      </c>
      <c r="V5" s="36" t="n">
        <f aca="false">IF(V4&lt;1,1,INT((V4-1)/12)+1)</f>
        <v>2</v>
      </c>
      <c r="W5" s="36" t="n">
        <f aca="false">IF(W4&lt;1,1,INT((W4-1)/12)+1)</f>
        <v>2</v>
      </c>
      <c r="X5" s="36" t="n">
        <f aca="false">IF(X4&lt;1,1,INT((X4-1)/12)+1)</f>
        <v>2</v>
      </c>
      <c r="Y5" s="36" t="n">
        <f aca="false">IF(Y4&lt;1,1,INT((Y4-1)/12)+1)</f>
        <v>2</v>
      </c>
      <c r="Z5" s="36" t="n">
        <f aca="false">IF(Z4&lt;1,1,INT((Z4-1)/12)+1)</f>
        <v>2</v>
      </c>
      <c r="AA5" s="36" t="n">
        <f aca="false">IF(AA4&lt;1,1,INT((AA4-1)/12)+1)</f>
        <v>2</v>
      </c>
      <c r="AB5" s="36" t="n">
        <f aca="false">IF(AB4&lt;1,1,INT((AB4-1)/12)+1)</f>
        <v>2</v>
      </c>
      <c r="AC5" s="36" t="n">
        <f aca="false">IF(AC4&lt;1,1,INT((AC4-1)/12)+1)</f>
        <v>2</v>
      </c>
      <c r="AD5" s="36" t="n">
        <f aca="false">IF(AD4&lt;1,1,INT((AD4-1)/12)+1)</f>
        <v>2</v>
      </c>
      <c r="AE5" s="36" t="n">
        <f aca="false">IF(AE4&lt;1,1,INT((AE4-1)/12)+1)</f>
        <v>2</v>
      </c>
      <c r="AF5" s="36" t="n">
        <f aca="false">IF(AF4&lt;1,1,INT((AF4-1)/12)+1)</f>
        <v>3</v>
      </c>
      <c r="AG5" s="36" t="n">
        <f aca="false">IF(AG4&lt;1,1,INT((AG4-1)/12)+1)</f>
        <v>3</v>
      </c>
      <c r="AH5" s="36" t="n">
        <f aca="false">IF(AH4&lt;1,1,INT((AH4-1)/12)+1)</f>
        <v>3</v>
      </c>
      <c r="AI5" s="36" t="n">
        <f aca="false">IF(AI4&lt;1,1,INT((AI4-1)/12)+1)</f>
        <v>3</v>
      </c>
      <c r="AJ5" s="36" t="n">
        <f aca="false">IF(AJ4&lt;1,1,INT((AJ4-1)/12)+1)</f>
        <v>3</v>
      </c>
      <c r="AK5" s="36" t="n">
        <f aca="false">IF(AK4&lt;1,1,INT((AK4-1)/12)+1)</f>
        <v>3</v>
      </c>
      <c r="AL5" s="36" t="n">
        <f aca="false">IF(AL4&lt;1,1,INT((AL4-1)/12)+1)</f>
        <v>3</v>
      </c>
      <c r="AM5" s="36" t="n">
        <f aca="false">IF(AM4&lt;1,1,INT((AM4-1)/12)+1)</f>
        <v>3</v>
      </c>
      <c r="AN5" s="36" t="n">
        <f aca="false">IF(AN4&lt;1,1,INT((AN4-1)/12)+1)</f>
        <v>3</v>
      </c>
      <c r="AO5" s="36" t="n">
        <f aca="false">IF(AO4&lt;1,1,INT((AO4-1)/12)+1)</f>
        <v>3</v>
      </c>
      <c r="AP5" s="36" t="n">
        <f aca="false">IF(AP4&lt;1,1,INT((AP4-1)/12)+1)</f>
        <v>3</v>
      </c>
      <c r="AQ5" s="36" t="n">
        <f aca="false">IF(AQ4&lt;1,1,INT((AQ4-1)/12)+1)</f>
        <v>3</v>
      </c>
      <c r="AR5" s="36" t="n">
        <f aca="false">IF(AR4&lt;1,1,INT((AR4-1)/12)+1)</f>
        <v>4</v>
      </c>
      <c r="AS5" s="36" t="n">
        <f aca="false">IF(AS4&lt;1,1,INT((AS4-1)/12)+1)</f>
        <v>4</v>
      </c>
      <c r="AT5" s="36" t="n">
        <f aca="false">IF(AT4&lt;1,1,INT((AT4-1)/12)+1)</f>
        <v>4</v>
      </c>
      <c r="AU5" s="36" t="n">
        <f aca="false">IF(AU4&lt;1,1,INT((AU4-1)/12)+1)</f>
        <v>4</v>
      </c>
      <c r="AV5" s="36" t="n">
        <f aca="false">IF(AV4&lt;1,1,INT((AV4-1)/12)+1)</f>
        <v>4</v>
      </c>
      <c r="AW5" s="36" t="n">
        <f aca="false">IF(AW4&lt;1,1,INT((AW4-1)/12)+1)</f>
        <v>4</v>
      </c>
      <c r="AX5" s="36" t="n">
        <f aca="false">IF(AX4&lt;1,1,INT((AX4-1)/12)+1)</f>
        <v>4</v>
      </c>
      <c r="AY5" s="36" t="n">
        <f aca="false">IF(AY4&lt;1,1,INT((AY4-1)/12)+1)</f>
        <v>4</v>
      </c>
      <c r="AZ5" s="36" t="n">
        <f aca="false">IF(AZ4&lt;1,1,INT((AZ4-1)/12)+1)</f>
        <v>4</v>
      </c>
      <c r="BA5" s="36" t="n">
        <f aca="false">IF(BA4&lt;1,1,INT((BA4-1)/12)+1)</f>
        <v>4</v>
      </c>
      <c r="BB5" s="36" t="n">
        <f aca="false">IF(BB4&lt;1,1,INT((BB4-1)/12)+1)</f>
        <v>4</v>
      </c>
      <c r="BC5" s="36" t="n">
        <f aca="false">IF(BC4&lt;1,1,INT((BC4-1)/12)+1)</f>
        <v>4</v>
      </c>
      <c r="BD5" s="36" t="n">
        <f aca="false">IF(BD4&lt;1,1,INT((BD4-1)/12)+1)</f>
        <v>5</v>
      </c>
      <c r="BE5" s="36" t="n">
        <f aca="false">IF(BE4&lt;1,1,INT((BE4-1)/12)+1)</f>
        <v>5</v>
      </c>
      <c r="BF5" s="36" t="n">
        <f aca="false">IF(BF4&lt;1,1,INT((BF4-1)/12)+1)</f>
        <v>5</v>
      </c>
      <c r="BG5" s="36" t="n">
        <f aca="false">IF(BG4&lt;1,1,INT((BG4-1)/12)+1)</f>
        <v>5</v>
      </c>
      <c r="BH5" s="36" t="n">
        <f aca="false">IF(BH4&lt;1,1,INT((BH4-1)/12)+1)</f>
        <v>5</v>
      </c>
      <c r="BI5" s="36" t="n">
        <f aca="false">IF(BI4&lt;1,1,INT((BI4-1)/12)+1)</f>
        <v>5</v>
      </c>
      <c r="BJ5" s="36" t="n">
        <f aca="false">IF(BJ4&lt;1,1,INT((BJ4-1)/12)+1)</f>
        <v>5</v>
      </c>
      <c r="BK5" s="36" t="n">
        <f aca="false">IF(BK4&lt;1,1,INT((BK4-1)/12)+1)</f>
        <v>5</v>
      </c>
      <c r="BL5" s="36" t="n">
        <f aca="false">IF(BL4&lt;1,1,INT((BL4-1)/12)+1)</f>
        <v>5</v>
      </c>
      <c r="BM5" s="36" t="n">
        <f aca="false">IF(BM4&lt;1,1,INT((BM4-1)/12)+1)</f>
        <v>5</v>
      </c>
      <c r="BN5" s="36" t="n">
        <f aca="false">IF(BN4&lt;1,1,INT((BN4-1)/12)+1)</f>
        <v>5</v>
      </c>
      <c r="BO5" s="36" t="n">
        <f aca="false">IF(BO4&lt;1,1,INT((BO4-1)/12)+1)</f>
        <v>5</v>
      </c>
    </row>
    <row r="6" customFormat="false" ht="15" hidden="false" customHeight="false" outlineLevel="0" collapsed="false">
      <c r="B6" s="8" t="s">
        <v>338</v>
      </c>
      <c r="C6" s="36" t="n">
        <v>1</v>
      </c>
      <c r="D6" s="36" t="n">
        <v>2</v>
      </c>
      <c r="E6" s="36" t="n">
        <v>3</v>
      </c>
      <c r="F6" s="36" t="n">
        <v>4</v>
      </c>
      <c r="G6" s="36" t="n">
        <v>5</v>
      </c>
      <c r="H6" s="36" t="n">
        <v>6</v>
      </c>
      <c r="I6" s="36" t="n">
        <v>7</v>
      </c>
      <c r="J6" s="36" t="n">
        <v>8</v>
      </c>
      <c r="K6" s="36" t="n">
        <v>9</v>
      </c>
      <c r="L6" s="36" t="n">
        <v>10</v>
      </c>
      <c r="M6" s="36" t="n">
        <v>11</v>
      </c>
      <c r="N6" s="36" t="n">
        <v>12</v>
      </c>
      <c r="O6" s="36" t="n">
        <v>13</v>
      </c>
      <c r="P6" s="36" t="n">
        <v>14</v>
      </c>
      <c r="Q6" s="36" t="n">
        <v>15</v>
      </c>
      <c r="R6" s="36" t="n">
        <v>16</v>
      </c>
      <c r="S6" s="36" t="n">
        <v>17</v>
      </c>
      <c r="T6" s="36" t="n">
        <v>18</v>
      </c>
      <c r="U6" s="36" t="n">
        <v>19</v>
      </c>
      <c r="V6" s="36" t="n">
        <v>20</v>
      </c>
      <c r="W6" s="36" t="n">
        <v>21</v>
      </c>
      <c r="X6" s="36" t="n">
        <v>22</v>
      </c>
      <c r="Y6" s="36" t="n">
        <v>23</v>
      </c>
      <c r="Z6" s="36" t="n">
        <v>24</v>
      </c>
      <c r="AA6" s="36" t="n">
        <v>25</v>
      </c>
      <c r="AB6" s="36" t="n">
        <v>26</v>
      </c>
      <c r="AC6" s="36" t="n">
        <v>27</v>
      </c>
      <c r="AD6" s="36" t="n">
        <v>28</v>
      </c>
      <c r="AE6" s="36" t="n">
        <v>29</v>
      </c>
      <c r="AF6" s="36" t="n">
        <v>30</v>
      </c>
      <c r="AG6" s="36" t="n">
        <v>31</v>
      </c>
      <c r="AH6" s="36" t="n">
        <v>32</v>
      </c>
      <c r="AI6" s="36" t="n">
        <v>33</v>
      </c>
      <c r="AJ6" s="36" t="n">
        <v>34</v>
      </c>
      <c r="AK6" s="36" t="n">
        <v>35</v>
      </c>
      <c r="AL6" s="36" t="n">
        <v>36</v>
      </c>
      <c r="AM6" s="36" t="n">
        <v>37</v>
      </c>
      <c r="AN6" s="36" t="n">
        <v>38</v>
      </c>
      <c r="AO6" s="36" t="n">
        <v>39</v>
      </c>
      <c r="AP6" s="36" t="n">
        <v>40</v>
      </c>
      <c r="AQ6" s="36" t="n">
        <v>41</v>
      </c>
      <c r="AR6" s="36" t="n">
        <v>42</v>
      </c>
      <c r="AS6" s="36" t="n">
        <v>43</v>
      </c>
      <c r="AT6" s="36" t="n">
        <v>44</v>
      </c>
      <c r="AU6" s="36" t="n">
        <v>45</v>
      </c>
      <c r="AV6" s="36" t="n">
        <v>46</v>
      </c>
      <c r="AW6" s="36" t="n">
        <v>47</v>
      </c>
      <c r="AX6" s="36" t="n">
        <v>48</v>
      </c>
      <c r="AY6" s="36" t="n">
        <v>49</v>
      </c>
      <c r="AZ6" s="36" t="n">
        <v>50</v>
      </c>
      <c r="BA6" s="36" t="n">
        <v>51</v>
      </c>
      <c r="BB6" s="36" t="n">
        <v>52</v>
      </c>
      <c r="BC6" s="36" t="n">
        <v>53</v>
      </c>
      <c r="BD6" s="36" t="n">
        <v>54</v>
      </c>
      <c r="BE6" s="36" t="n">
        <v>55</v>
      </c>
      <c r="BF6" s="36" t="n">
        <v>56</v>
      </c>
      <c r="BG6" s="36" t="n">
        <v>57</v>
      </c>
      <c r="BH6" s="36" t="n">
        <v>58</v>
      </c>
      <c r="BI6" s="36" t="n">
        <v>59</v>
      </c>
      <c r="BJ6" s="36" t="n">
        <v>60</v>
      </c>
      <c r="BK6" s="36" t="n">
        <v>61</v>
      </c>
      <c r="BL6" s="36" t="n">
        <v>62</v>
      </c>
      <c r="BM6" s="36" t="n">
        <v>63</v>
      </c>
      <c r="BN6" s="36" t="n">
        <v>64</v>
      </c>
      <c r="BO6" s="36" t="n">
        <v>65</v>
      </c>
    </row>
    <row r="7" customFormat="false" ht="15" hidden="false" customHeight="false" outlineLevel="0" collapsed="false">
      <c r="B7" s="2" t="s">
        <v>429</v>
      </c>
      <c r="C7" s="25" t="n">
        <v>0</v>
      </c>
      <c r="D7" s="25" t="n">
        <f aca="false">C22</f>
        <v>278222.808666667</v>
      </c>
      <c r="E7" s="25" t="n">
        <f aca="false">D22</f>
        <v>637487.223666667</v>
      </c>
      <c r="F7" s="25" t="n">
        <f aca="false">E22</f>
        <v>1842056.24766667</v>
      </c>
      <c r="G7" s="25" t="n">
        <f aca="false">F22</f>
        <v>1459129.51533333</v>
      </c>
      <c r="H7" s="25" t="n">
        <f aca="false">G22</f>
        <v>381545.786</v>
      </c>
      <c r="I7" s="25" t="n">
        <f aca="false">H22</f>
        <v>484924.259606667</v>
      </c>
      <c r="J7" s="25" t="n">
        <f aca="false">I22</f>
        <v>427353.28942683</v>
      </c>
      <c r="K7" s="25" t="n">
        <f aca="false">J22</f>
        <v>376076.27506444</v>
      </c>
      <c r="L7" s="25" t="n">
        <f aca="false">K22</f>
        <v>335556.413491512</v>
      </c>
      <c r="M7" s="25" t="n">
        <f aca="false">L22</f>
        <v>297996.316986747</v>
      </c>
      <c r="N7" s="25" t="n">
        <f aca="false">M22</f>
        <v>264420.912533769</v>
      </c>
      <c r="O7" s="25" t="n">
        <f aca="false">N22</f>
        <v>234742.536907441</v>
      </c>
      <c r="P7" s="25" t="n">
        <f aca="false">O22</f>
        <v>208875.455473575</v>
      </c>
      <c r="Q7" s="25" t="n">
        <f aca="false">P22</f>
        <v>186735.819759938</v>
      </c>
      <c r="R7" s="25" t="n">
        <f aca="false">Q22</f>
        <v>168241.625960684</v>
      </c>
      <c r="S7" s="25" t="n">
        <f aca="false">R22</f>
        <v>153312.674353698</v>
      </c>
      <c r="T7" s="25" t="n">
        <f aca="false">S22</f>
        <v>141870.529610748</v>
      </c>
      <c r="U7" s="25" t="n">
        <f aca="false">T22</f>
        <v>128360.973960827</v>
      </c>
      <c r="V7" s="25" t="n">
        <f aca="false">U22</f>
        <v>117770.222965465</v>
      </c>
      <c r="W7" s="25" t="n">
        <f aca="false">V22</f>
        <v>109965.441675282</v>
      </c>
      <c r="X7" s="25" t="n">
        <f aca="false">W22</f>
        <v>104885.338756765</v>
      </c>
      <c r="Y7" s="25" t="n">
        <f aca="false">X22</f>
        <v>102469.971285737</v>
      </c>
      <c r="Z7" s="25" t="n">
        <f aca="false">Y22</f>
        <v>102660.715082354</v>
      </c>
      <c r="AA7" s="25" t="n">
        <f aca="false">Z22</f>
        <v>105400.235698727</v>
      </c>
      <c r="AB7" s="25" t="n">
        <f aca="false">AA22</f>
        <v>110632.460044821</v>
      </c>
      <c r="AC7" s="25" t="n">
        <f aca="false">AB22</f>
        <v>116219.21530525</v>
      </c>
      <c r="AD7" s="25" t="n">
        <f aca="false">AC22</f>
        <v>124200.184438787</v>
      </c>
      <c r="AE7" s="25" t="n">
        <f aca="false">AD22</f>
        <v>134522.914358279</v>
      </c>
      <c r="AF7" s="25" t="n">
        <f aca="false">AE22</f>
        <v>147136.105944491</v>
      </c>
      <c r="AG7" s="25" t="n">
        <f aca="false">AF22</f>
        <v>162182.666559945</v>
      </c>
      <c r="AH7" s="25" t="n">
        <f aca="false">AG22</f>
        <v>178708.232804018</v>
      </c>
      <c r="AI7" s="25" t="n">
        <f aca="false">AH22</f>
        <v>196929.314950614</v>
      </c>
      <c r="AJ7" s="25" t="n">
        <f aca="false">AI22</f>
        <v>216808.831267932</v>
      </c>
      <c r="AK7" s="25" t="n">
        <f aca="false">AJ22</f>
        <v>237730.651387766</v>
      </c>
      <c r="AL7" s="25" t="n">
        <f aca="false">AK22</f>
        <v>258819.534816178</v>
      </c>
      <c r="AM7" s="25" t="n">
        <f aca="false">AL22</f>
        <v>279858.218831467</v>
      </c>
      <c r="AN7" s="25" t="n">
        <f aca="false">AM22</f>
        <v>300906.885485646</v>
      </c>
      <c r="AO7" s="25" t="n">
        <f aca="false">AN22</f>
        <v>321965.534778713</v>
      </c>
      <c r="AP7" s="25" t="n">
        <f aca="false">AO22</f>
        <v>335570.524553806</v>
      </c>
      <c r="AQ7" s="25" t="n">
        <f aca="false">AP22</f>
        <v>349225.303059292</v>
      </c>
      <c r="AR7" s="25" t="n">
        <f aca="false">AQ22</f>
        <v>362929.870295169</v>
      </c>
      <c r="AS7" s="25" t="n">
        <f aca="false">AR22</f>
        <v>377486.037881396</v>
      </c>
      <c r="AT7" s="25" t="n">
        <f aca="false">AS22</f>
        <v>391826.399138496</v>
      </c>
      <c r="AU7" s="25" t="n">
        <f aca="false">AT22</f>
        <v>406216.549125987</v>
      </c>
      <c r="AV7" s="25" t="n">
        <f aca="false">AU22</f>
        <v>420656.487843871</v>
      </c>
      <c r="AW7" s="25" t="n">
        <f aca="false">AV22</f>
        <v>435146.215292148</v>
      </c>
      <c r="AX7" s="25" t="n">
        <f aca="false">AW22</f>
        <v>449685.731470816</v>
      </c>
      <c r="AY7" s="25" t="n">
        <f aca="false">AX22</f>
        <v>464275.036379876</v>
      </c>
      <c r="AZ7" s="25" t="n">
        <f aca="false">AY22</f>
        <v>478914.130019329</v>
      </c>
      <c r="BA7" s="25" t="n">
        <f aca="false">AZ22</f>
        <v>493603.012389173</v>
      </c>
      <c r="BB7" s="25" t="n">
        <f aca="false">BA22</f>
        <v>508341.68348941</v>
      </c>
      <c r="BC7" s="25" t="n">
        <f aca="false">BB22</f>
        <v>523130.143320039</v>
      </c>
      <c r="BD7" s="25" t="n">
        <f aca="false">BC22</f>
        <v>537968.39188106</v>
      </c>
      <c r="BE7" s="25" t="n">
        <f aca="false">BD22</f>
        <v>553843.582493241</v>
      </c>
      <c r="BF7" s="25" t="n">
        <f aca="false">BE22</f>
        <v>569469.724875103</v>
      </c>
      <c r="BG7" s="25" t="n">
        <f aca="false">BF22</f>
        <v>585145.655987358</v>
      </c>
      <c r="BH7" s="25" t="n">
        <f aca="false">BG22</f>
        <v>600871.375830005</v>
      </c>
      <c r="BI7" s="25" t="n">
        <f aca="false">BH22</f>
        <v>616646.884403044</v>
      </c>
      <c r="BJ7" s="25" t="n">
        <f aca="false">BI22</f>
        <v>632472.181706475</v>
      </c>
      <c r="BK7" s="25" t="n">
        <f aca="false">BJ22</f>
        <v>648347.267740298</v>
      </c>
      <c r="BL7" s="25" t="n">
        <f aca="false">BK22</f>
        <v>664272.142504514</v>
      </c>
      <c r="BM7" s="25" t="n">
        <f aca="false">BL22</f>
        <v>676080.139332454</v>
      </c>
      <c r="BN7" s="25" t="n">
        <f aca="false">BM22</f>
        <v>687960.494335232</v>
      </c>
      <c r="BO7" s="25" t="n">
        <f aca="false">BN22</f>
        <v>699913.207512846</v>
      </c>
    </row>
    <row r="8" customFormat="false" ht="15" hidden="false" customHeight="false" outlineLevel="0" collapsed="false">
      <c r="B8" s="8" t="s">
        <v>430</v>
      </c>
    </row>
    <row r="9" customFormat="false" ht="15" hidden="false" customHeight="false" outlineLevel="0" collapsed="false">
      <c r="B9" s="2" t="s">
        <v>431</v>
      </c>
      <c r="C9" s="25" t="n">
        <v>0</v>
      </c>
      <c r="D9" s="25" t="n">
        <v>0</v>
      </c>
      <c r="E9" s="25" t="n">
        <v>0</v>
      </c>
      <c r="F9" s="25" t="n">
        <v>0</v>
      </c>
      <c r="G9" s="25" t="n">
        <v>0</v>
      </c>
      <c r="H9" s="33" t="n">
        <f aca="false">Umsatz!C16+Umsatz!C17</f>
        <v>29979.075</v>
      </c>
      <c r="I9" s="33" t="n">
        <f aca="false">Umsatz!D16+Umsatz!D17</f>
        <v>37895.17935</v>
      </c>
      <c r="J9" s="33" t="n">
        <f aca="false">Umsatz!E16+Umsatz!E17</f>
        <v>45637.1294043</v>
      </c>
      <c r="K9" s="33" t="n">
        <f aca="false">Umsatz!F16+Umsatz!F17</f>
        <v>50626.7565574054</v>
      </c>
      <c r="L9" s="33" t="n">
        <f aca="false">Umsatz!G16+Umsatz!G17</f>
        <v>55638.4279131425</v>
      </c>
      <c r="M9" s="33" t="n">
        <f aca="false">Umsatz!H16+Umsatz!H17</f>
        <v>60539.8424990534</v>
      </c>
      <c r="N9" s="33" t="n">
        <f aca="false">Umsatz!I16+Umsatz!I17</f>
        <v>65333.4259640742</v>
      </c>
      <c r="O9" s="33" t="n">
        <f aca="false">Umsatz!J16+Umsatz!J17</f>
        <v>70021.5505928645</v>
      </c>
      <c r="P9" s="33" t="n">
        <f aca="false">Umsatz!K16+Umsatz!K17</f>
        <v>74606.5364798215</v>
      </c>
      <c r="Q9" s="33" t="n">
        <f aca="false">Umsatz!L16+Umsatz!L17</f>
        <v>79090.6526772655</v>
      </c>
      <c r="R9" s="33" t="n">
        <f aca="false">Umsatz!M16+Umsatz!M17</f>
        <v>83476.1183183656</v>
      </c>
      <c r="S9" s="33" t="n">
        <f aca="false">Umsatz!N16+Umsatz!N17</f>
        <v>87765.1037153616</v>
      </c>
      <c r="T9" s="33" t="n">
        <f aca="false">Umsatz!O16+Umsatz!O17</f>
        <v>91314.2314336236</v>
      </c>
      <c r="U9" s="33" t="n">
        <f aca="false">Umsatz!P16+Umsatz!P17</f>
        <v>94818.2323420839</v>
      </c>
      <c r="V9" s="33" t="n">
        <f aca="false">Umsatz!Q16+Umsatz!Q17</f>
        <v>98245.1452305581</v>
      </c>
      <c r="W9" s="33" t="n">
        <f aca="false">Umsatz!R16+Umsatz!R17</f>
        <v>101596.666035486</v>
      </c>
      <c r="X9" s="33" t="n">
        <f aca="false">Umsatz!S16+Umsatz!S17</f>
        <v>104874.453382705</v>
      </c>
      <c r="Y9" s="33" t="n">
        <f aca="false">Umsatz!T16+Umsatz!T17</f>
        <v>108080.129408286</v>
      </c>
      <c r="Z9" s="33" t="n">
        <f aca="false">Umsatz!U16+Umsatz!U17</f>
        <v>111215.280561303</v>
      </c>
      <c r="AA9" s="33" t="n">
        <f aca="false">Umsatz!V16+Umsatz!V17</f>
        <v>114281.458388955</v>
      </c>
      <c r="AB9" s="33" t="n">
        <f aca="false">Umsatz!W16+Umsatz!W17</f>
        <v>117280.180304398</v>
      </c>
      <c r="AC9" s="33" t="n">
        <f aca="false">Umsatz!X16+Umsatz!X17</f>
        <v>120212.930337701</v>
      </c>
      <c r="AD9" s="33" t="n">
        <f aca="false">Umsatz!Y16+Umsatz!Y17</f>
        <v>123081.159870271</v>
      </c>
      <c r="AE9" s="33" t="n">
        <f aca="false">Umsatz!Z16+Umsatz!Z17</f>
        <v>125886.288353126</v>
      </c>
      <c r="AF9" s="33" t="n">
        <f aca="false">Umsatz!AA16+Umsatz!AA17</f>
        <v>130060.50028409</v>
      </c>
      <c r="AG9" s="33" t="n">
        <f aca="false">Umsatz!AB16+Umsatz!AB17</f>
        <v>132179.77727784</v>
      </c>
      <c r="AH9" s="33" t="n">
        <f aca="false">Umsatz!AC16+Umsatz!AC17</f>
        <v>134252.430177728</v>
      </c>
      <c r="AI9" s="33" t="n">
        <f aca="false">Umsatz!AD16+Umsatz!AD17</f>
        <v>136279.484713818</v>
      </c>
      <c r="AJ9" s="33" t="n">
        <f aca="false">Umsatz!AE16+Umsatz!AE17</f>
        <v>137666.169590553</v>
      </c>
      <c r="AK9" s="33" t="n">
        <f aca="false">Umsatz!AF16+Umsatz!AF17</f>
        <v>138050.6</v>
      </c>
      <c r="AL9" s="33" t="n">
        <f aca="false">Umsatz!AG16+Umsatz!AG17</f>
        <v>138050.6</v>
      </c>
      <c r="AM9" s="33" t="n">
        <f aca="false">Umsatz!AH16+Umsatz!AH17</f>
        <v>138050.6</v>
      </c>
      <c r="AN9" s="33" t="n">
        <f aca="false">Umsatz!AI16+Umsatz!AI17</f>
        <v>138050.6</v>
      </c>
      <c r="AO9" s="33" t="n">
        <f aca="false">Umsatz!AJ16+Umsatz!AJ17</f>
        <v>138050.6</v>
      </c>
      <c r="AP9" s="33" t="n">
        <f aca="false">Umsatz!AK16+Umsatz!AK17</f>
        <v>138050.6</v>
      </c>
      <c r="AQ9" s="33" t="n">
        <f aca="false">Umsatz!AL16+Umsatz!AL17</f>
        <v>138050.6</v>
      </c>
      <c r="AR9" s="33" t="n">
        <f aca="false">Umsatz!AM16+Umsatz!AM17</f>
        <v>140129.832</v>
      </c>
      <c r="AS9" s="33" t="n">
        <f aca="false">Umsatz!AN16+Umsatz!AN17</f>
        <v>140129.832</v>
      </c>
      <c r="AT9" s="33" t="n">
        <f aca="false">Umsatz!AO16+Umsatz!AO17</f>
        <v>140129.832</v>
      </c>
      <c r="AU9" s="33" t="n">
        <f aca="false">Umsatz!AP16+Umsatz!AP17</f>
        <v>140129.832</v>
      </c>
      <c r="AV9" s="33" t="n">
        <f aca="false">Umsatz!AQ16+Umsatz!AQ17</f>
        <v>140129.832</v>
      </c>
      <c r="AW9" s="33" t="n">
        <f aca="false">Umsatz!AR16+Umsatz!AR17</f>
        <v>140129.832</v>
      </c>
      <c r="AX9" s="33" t="n">
        <f aca="false">Umsatz!AS16+Umsatz!AS17</f>
        <v>140129.832</v>
      </c>
      <c r="AY9" s="33" t="n">
        <f aca="false">Umsatz!AT16+Umsatz!AT17</f>
        <v>140129.832</v>
      </c>
      <c r="AZ9" s="33" t="n">
        <f aca="false">Umsatz!AU16+Umsatz!AU17</f>
        <v>140129.832</v>
      </c>
      <c r="BA9" s="33" t="n">
        <f aca="false">Umsatz!AV16+Umsatz!AV17</f>
        <v>140129.832</v>
      </c>
      <c r="BB9" s="33" t="n">
        <f aca="false">Umsatz!AW16+Umsatz!AW17</f>
        <v>140129.832</v>
      </c>
      <c r="BC9" s="33" t="n">
        <f aca="false">Umsatz!AX16+Umsatz!AX17</f>
        <v>140129.832</v>
      </c>
      <c r="BD9" s="33" t="n">
        <f aca="false">Umsatz!AY16+Umsatz!AY17</f>
        <v>142425.57864</v>
      </c>
      <c r="BE9" s="33" t="n">
        <f aca="false">Umsatz!AZ16+Umsatz!AZ17</f>
        <v>142425.57864</v>
      </c>
      <c r="BF9" s="33" t="n">
        <f aca="false">Umsatz!BA16+Umsatz!BA17</f>
        <v>142425.57864</v>
      </c>
      <c r="BG9" s="33" t="n">
        <f aca="false">Umsatz!BB16+Umsatz!BB17</f>
        <v>142425.57864</v>
      </c>
      <c r="BH9" s="33" t="n">
        <f aca="false">Umsatz!BC16+Umsatz!BC17</f>
        <v>142425.57864</v>
      </c>
      <c r="BI9" s="33" t="n">
        <f aca="false">Umsatz!BD16+Umsatz!BD17</f>
        <v>142425.57864</v>
      </c>
      <c r="BJ9" s="33" t="n">
        <f aca="false">Umsatz!BE16+Umsatz!BE17</f>
        <v>142425.57864</v>
      </c>
      <c r="BK9" s="33" t="n">
        <f aca="false">Umsatz!BF16+Umsatz!BF17</f>
        <v>142425.57864</v>
      </c>
      <c r="BL9" s="33" t="n">
        <f aca="false">Umsatz!BG16+Umsatz!BG17</f>
        <v>142425.57864</v>
      </c>
      <c r="BM9" s="33" t="n">
        <f aca="false">Umsatz!BH16+Umsatz!BH17</f>
        <v>142425.57864</v>
      </c>
      <c r="BN9" s="33" t="n">
        <f aca="false">Umsatz!BI16+Umsatz!BI17</f>
        <v>142425.57864</v>
      </c>
      <c r="BO9" s="33" t="n">
        <f aca="false">Umsatz!BJ16+Umsatz!BJ17</f>
        <v>142425.57864</v>
      </c>
    </row>
    <row r="10" customFormat="false" ht="15" hidden="false" customHeight="false" outlineLevel="0" collapsed="false">
      <c r="B10" s="2" t="s">
        <v>432</v>
      </c>
      <c r="C10" s="25" t="n">
        <f aca="false">MAX(0,-IF(UST_Verz=0,C24,0))</f>
        <v>-0</v>
      </c>
      <c r="D10" s="25" t="n">
        <f aca="false">MAX(0,-IF(UST_Verz=0,D24,C24))</f>
        <v>5490.658</v>
      </c>
      <c r="E10" s="25" t="n">
        <f aca="false">MAX(0,-IF(UST_Verz=0,E24,D24))</f>
        <v>54461.543</v>
      </c>
      <c r="F10" s="25" t="n">
        <f aca="false">MAX(0,-IF(UST_Verz=0,F24,E24))</f>
        <v>56678.2096666667</v>
      </c>
      <c r="G10" s="25" t="n">
        <f aca="false">MAX(0,-IF(UST_Verz=0,G24,F24))</f>
        <v>66699.1326666667</v>
      </c>
      <c r="H10" s="25" t="n">
        <f aca="false">MAX(0,-IF(UST_Verz=0,H24,G24))</f>
        <v>172903.052666667</v>
      </c>
      <c r="I10" s="25" t="n">
        <f aca="false">MAX(0,-IF(UST_Verz=0,I24,H24))</f>
        <v>4251.35710784314</v>
      </c>
      <c r="J10" s="25" t="n">
        <f aca="false">MAX(0,-IF(UST_Verz=0,J24,I24))</f>
        <v>3012.51069196078</v>
      </c>
      <c r="K10" s="25" t="n">
        <f aca="false">MAX(0,-IF(UST_Verz=0,K24,J24))</f>
        <v>1800.91889722784</v>
      </c>
      <c r="L10" s="25" t="n">
        <f aca="false">MAX(0,-IF(UST_Verz=0,L24,K24))</f>
        <v>0</v>
      </c>
      <c r="M10" s="25" t="n">
        <f aca="false">MAX(0,-IF(UST_Verz=0,M24,L24))</f>
        <v>0</v>
      </c>
      <c r="N10" s="25" t="n">
        <f aca="false">MAX(0,-IF(UST_Verz=0,N24,M24))</f>
        <v>0</v>
      </c>
      <c r="O10" s="25" t="n">
        <f aca="false">MAX(0,-IF(UST_Verz=0,O24,N24))</f>
        <v>0</v>
      </c>
      <c r="P10" s="25" t="n">
        <f aca="false">MAX(0,-IF(UST_Verz=0,P24,O24))</f>
        <v>0</v>
      </c>
      <c r="Q10" s="25" t="n">
        <f aca="false">MAX(0,-IF(UST_Verz=0,Q24,P24))</f>
        <v>0</v>
      </c>
      <c r="R10" s="25" t="n">
        <f aca="false">MAX(0,-IF(UST_Verz=0,R24,Q24))</f>
        <v>0</v>
      </c>
      <c r="S10" s="25" t="n">
        <f aca="false">MAX(0,-IF(UST_Verz=0,S24,R24))</f>
        <v>0</v>
      </c>
      <c r="T10" s="25" t="n">
        <f aca="false">MAX(0,-IF(UST_Verz=0,T24,S24))</f>
        <v>0</v>
      </c>
      <c r="U10" s="25" t="n">
        <f aca="false">MAX(0,-IF(UST_Verz=0,U24,T24))</f>
        <v>0</v>
      </c>
      <c r="V10" s="25" t="n">
        <f aca="false">MAX(0,-IF(UST_Verz=0,V24,U24))</f>
        <v>0</v>
      </c>
      <c r="W10" s="25" t="n">
        <f aca="false">MAX(0,-IF(UST_Verz=0,W24,V24))</f>
        <v>0</v>
      </c>
      <c r="X10" s="25" t="n">
        <f aca="false">MAX(0,-IF(UST_Verz=0,X24,W24))</f>
        <v>0</v>
      </c>
      <c r="Y10" s="25" t="n">
        <f aca="false">MAX(0,-IF(UST_Verz=0,Y24,X24))</f>
        <v>0</v>
      </c>
      <c r="Z10" s="25" t="n">
        <f aca="false">MAX(0,-IF(UST_Verz=0,Z24,Y24))</f>
        <v>0</v>
      </c>
      <c r="AA10" s="25" t="n">
        <f aca="false">MAX(0,-IF(UST_Verz=0,AA24,Z24))</f>
        <v>0</v>
      </c>
      <c r="AB10" s="25" t="n">
        <f aca="false">MAX(0,-IF(UST_Verz=0,AB24,AA24))</f>
        <v>0</v>
      </c>
      <c r="AC10" s="25" t="n">
        <f aca="false">MAX(0,-IF(UST_Verz=0,AC24,AB24))</f>
        <v>0</v>
      </c>
      <c r="AD10" s="25" t="n">
        <f aca="false">MAX(0,-IF(UST_Verz=0,AD24,AC24))</f>
        <v>0</v>
      </c>
      <c r="AE10" s="25" t="n">
        <f aca="false">MAX(0,-IF(UST_Verz=0,AE24,AD24))</f>
        <v>0</v>
      </c>
      <c r="AF10" s="25" t="n">
        <f aca="false">MAX(0,-IF(UST_Verz=0,AF24,AE24))</f>
        <v>0</v>
      </c>
      <c r="AG10" s="25" t="n">
        <f aca="false">MAX(0,-IF(UST_Verz=0,AG24,AF24))</f>
        <v>0</v>
      </c>
      <c r="AH10" s="25" t="n">
        <f aca="false">MAX(0,-IF(UST_Verz=0,AH24,AG24))</f>
        <v>0</v>
      </c>
      <c r="AI10" s="25" t="n">
        <f aca="false">MAX(0,-IF(UST_Verz=0,AI24,AH24))</f>
        <v>0</v>
      </c>
      <c r="AJ10" s="25" t="n">
        <f aca="false">MAX(0,-IF(UST_Verz=0,AJ24,AI24))</f>
        <v>0</v>
      </c>
      <c r="AK10" s="25" t="n">
        <f aca="false">MAX(0,-IF(UST_Verz=0,AK24,AJ24))</f>
        <v>0</v>
      </c>
      <c r="AL10" s="25" t="n">
        <f aca="false">MAX(0,-IF(UST_Verz=0,AL24,AK24))</f>
        <v>0</v>
      </c>
      <c r="AM10" s="25" t="n">
        <f aca="false">MAX(0,-IF(UST_Verz=0,AM24,AL24))</f>
        <v>0</v>
      </c>
      <c r="AN10" s="25" t="n">
        <f aca="false">MAX(0,-IF(UST_Verz=0,AN24,AM24))</f>
        <v>0</v>
      </c>
      <c r="AO10" s="25" t="n">
        <f aca="false">MAX(0,-IF(UST_Verz=0,AO24,AN24))</f>
        <v>0</v>
      </c>
      <c r="AP10" s="25" t="n">
        <f aca="false">MAX(0,-IF(UST_Verz=0,AP24,AO24))</f>
        <v>0</v>
      </c>
      <c r="AQ10" s="25" t="n">
        <f aca="false">MAX(0,-IF(UST_Verz=0,AQ24,AP24))</f>
        <v>0</v>
      </c>
      <c r="AR10" s="25" t="n">
        <f aca="false">MAX(0,-IF(UST_Verz=0,AR24,AQ24))</f>
        <v>0</v>
      </c>
      <c r="AS10" s="25" t="n">
        <f aca="false">MAX(0,-IF(UST_Verz=0,AS24,AR24))</f>
        <v>0</v>
      </c>
      <c r="AT10" s="25" t="n">
        <f aca="false">MAX(0,-IF(UST_Verz=0,AT24,AS24))</f>
        <v>0</v>
      </c>
      <c r="AU10" s="25" t="n">
        <f aca="false">MAX(0,-IF(UST_Verz=0,AU24,AT24))</f>
        <v>0</v>
      </c>
      <c r="AV10" s="25" t="n">
        <f aca="false">MAX(0,-IF(UST_Verz=0,AV24,AU24))</f>
        <v>0</v>
      </c>
      <c r="AW10" s="25" t="n">
        <f aca="false">MAX(0,-IF(UST_Verz=0,AW24,AV24))</f>
        <v>0</v>
      </c>
      <c r="AX10" s="25" t="n">
        <f aca="false">MAX(0,-IF(UST_Verz=0,AX24,AW24))</f>
        <v>0</v>
      </c>
      <c r="AY10" s="25" t="n">
        <f aca="false">MAX(0,-IF(UST_Verz=0,AY24,AX24))</f>
        <v>0</v>
      </c>
      <c r="AZ10" s="25" t="n">
        <f aca="false">MAX(0,-IF(UST_Verz=0,AZ24,AY24))</f>
        <v>0</v>
      </c>
      <c r="BA10" s="25" t="n">
        <f aca="false">MAX(0,-IF(UST_Verz=0,BA24,AZ24))</f>
        <v>0</v>
      </c>
      <c r="BB10" s="25" t="n">
        <f aca="false">MAX(0,-IF(UST_Verz=0,BB24,BA24))</f>
        <v>0</v>
      </c>
      <c r="BC10" s="25" t="n">
        <f aca="false">MAX(0,-IF(UST_Verz=0,BC24,BB24))</f>
        <v>0</v>
      </c>
      <c r="BD10" s="25" t="n">
        <f aca="false">MAX(0,-IF(UST_Verz=0,BD24,BC24))</f>
        <v>0</v>
      </c>
      <c r="BE10" s="25" t="n">
        <f aca="false">MAX(0,-IF(UST_Verz=0,BE24,BD24))</f>
        <v>0</v>
      </c>
      <c r="BF10" s="25" t="n">
        <f aca="false">MAX(0,-IF(UST_Verz=0,BF24,BE24))</f>
        <v>0</v>
      </c>
      <c r="BG10" s="25" t="n">
        <f aca="false">MAX(0,-IF(UST_Verz=0,BG24,BF24))</f>
        <v>0</v>
      </c>
      <c r="BH10" s="25" t="n">
        <f aca="false">MAX(0,-IF(UST_Verz=0,BH24,BG24))</f>
        <v>0</v>
      </c>
      <c r="BI10" s="25" t="n">
        <f aca="false">MAX(0,-IF(UST_Verz=0,BI24,BH24))</f>
        <v>0</v>
      </c>
      <c r="BJ10" s="25" t="n">
        <f aca="false">MAX(0,-IF(UST_Verz=0,BJ24,BI24))</f>
        <v>0</v>
      </c>
      <c r="BK10" s="25" t="n">
        <f aca="false">MAX(0,-IF(UST_Verz=0,BK24,BJ24))</f>
        <v>0</v>
      </c>
      <c r="BL10" s="25" t="n">
        <f aca="false">MAX(0,-IF(UST_Verz=0,BL24,BK24))</f>
        <v>0</v>
      </c>
      <c r="BM10" s="25" t="n">
        <f aca="false">MAX(0,-IF(UST_Verz=0,BM24,BL24))</f>
        <v>0</v>
      </c>
      <c r="BN10" s="25" t="n">
        <f aca="false">MAX(0,-IF(UST_Verz=0,BN24,BM24))</f>
        <v>0</v>
      </c>
      <c r="BO10" s="25" t="n">
        <f aca="false">MAX(0,-IF(UST_Verz=0,BO24,BN24))</f>
        <v>0</v>
      </c>
    </row>
    <row r="11" customFormat="false" ht="15" hidden="false" customHeight="false" outlineLevel="0" collapsed="false">
      <c r="B11" s="2" t="s">
        <v>433</v>
      </c>
      <c r="C11" s="33" t="n">
        <f aca="false">EK</f>
        <v>150000</v>
      </c>
      <c r="D11" s="25" t="n">
        <v>0</v>
      </c>
      <c r="E11" s="25" t="n">
        <v>0</v>
      </c>
      <c r="F11" s="25" t="n">
        <v>0</v>
      </c>
      <c r="G11" s="25" t="n">
        <v>0</v>
      </c>
      <c r="H11" s="25" t="n">
        <v>0</v>
      </c>
      <c r="I11" s="25" t="n">
        <v>0</v>
      </c>
      <c r="J11" s="25" t="n">
        <v>0</v>
      </c>
      <c r="K11" s="25" t="n">
        <v>0</v>
      </c>
      <c r="L11" s="25" t="n">
        <v>0</v>
      </c>
      <c r="M11" s="25" t="n">
        <v>0</v>
      </c>
      <c r="N11" s="25" t="n">
        <v>0</v>
      </c>
      <c r="O11" s="25" t="n">
        <v>0</v>
      </c>
      <c r="P11" s="25" t="n">
        <v>0</v>
      </c>
      <c r="Q11" s="25" t="n">
        <v>0</v>
      </c>
      <c r="R11" s="25" t="n">
        <v>0</v>
      </c>
      <c r="S11" s="25" t="n">
        <v>0</v>
      </c>
      <c r="T11" s="25" t="n">
        <v>0</v>
      </c>
      <c r="U11" s="25" t="n">
        <v>0</v>
      </c>
      <c r="V11" s="25" t="n">
        <v>0</v>
      </c>
      <c r="W11" s="25" t="n">
        <v>0</v>
      </c>
      <c r="X11" s="25" t="n">
        <v>0</v>
      </c>
      <c r="Y11" s="25" t="n">
        <v>0</v>
      </c>
      <c r="Z11" s="25" t="n">
        <v>0</v>
      </c>
      <c r="AA11" s="25" t="n">
        <v>0</v>
      </c>
      <c r="AB11" s="25" t="n">
        <v>0</v>
      </c>
      <c r="AC11" s="25" t="n">
        <v>0</v>
      </c>
      <c r="AD11" s="25" t="n">
        <v>0</v>
      </c>
      <c r="AE11" s="25" t="n">
        <v>0</v>
      </c>
      <c r="AF11" s="25" t="n">
        <v>0</v>
      </c>
      <c r="AG11" s="25" t="n">
        <v>0</v>
      </c>
      <c r="AH11" s="25" t="n">
        <v>0</v>
      </c>
      <c r="AI11" s="25" t="n">
        <v>0</v>
      </c>
      <c r="AJ11" s="25" t="n">
        <v>0</v>
      </c>
      <c r="AK11" s="25" t="n">
        <v>0</v>
      </c>
      <c r="AL11" s="25" t="n">
        <v>0</v>
      </c>
      <c r="AM11" s="25" t="n">
        <v>0</v>
      </c>
      <c r="AN11" s="25" t="n">
        <v>0</v>
      </c>
      <c r="AO11" s="25" t="n">
        <v>0</v>
      </c>
      <c r="AP11" s="25" t="n">
        <v>0</v>
      </c>
      <c r="AQ11" s="25" t="n">
        <v>0</v>
      </c>
      <c r="AR11" s="25" t="n">
        <v>0</v>
      </c>
      <c r="AS11" s="25" t="n">
        <v>0</v>
      </c>
      <c r="AT11" s="25" t="n">
        <v>0</v>
      </c>
      <c r="AU11" s="25" t="n">
        <v>0</v>
      </c>
      <c r="AV11" s="25" t="n">
        <v>0</v>
      </c>
      <c r="AW11" s="25" t="n">
        <v>0</v>
      </c>
      <c r="AX11" s="25" t="n">
        <v>0</v>
      </c>
      <c r="AY11" s="25" t="n">
        <v>0</v>
      </c>
      <c r="AZ11" s="25" t="n">
        <v>0</v>
      </c>
      <c r="BA11" s="25" t="n">
        <v>0</v>
      </c>
      <c r="BB11" s="25" t="n">
        <v>0</v>
      </c>
      <c r="BC11" s="25" t="n">
        <v>0</v>
      </c>
      <c r="BD11" s="25" t="n">
        <v>0</v>
      </c>
      <c r="BE11" s="25" t="n">
        <v>0</v>
      </c>
      <c r="BF11" s="25" t="n">
        <v>0</v>
      </c>
      <c r="BG11" s="25" t="n">
        <v>0</v>
      </c>
      <c r="BH11" s="25" t="n">
        <v>0</v>
      </c>
      <c r="BI11" s="25" t="n">
        <v>0</v>
      </c>
      <c r="BJ11" s="25" t="n">
        <v>0</v>
      </c>
      <c r="BK11" s="25" t="n">
        <v>0</v>
      </c>
      <c r="BL11" s="25" t="n">
        <v>0</v>
      </c>
      <c r="BM11" s="25" t="n">
        <v>0</v>
      </c>
      <c r="BN11" s="25" t="n">
        <v>0</v>
      </c>
      <c r="BO11" s="25" t="n">
        <v>0</v>
      </c>
    </row>
    <row r="12" customFormat="false" ht="15" hidden="false" customHeight="false" outlineLevel="0" collapsed="false">
      <c r="B12" s="2" t="s">
        <v>434</v>
      </c>
      <c r="C12" s="33" t="n">
        <f aca="false">Finanzierung!C60</f>
        <v>250000</v>
      </c>
      <c r="D12" s="33" t="n">
        <f aca="false">Finanzierung!D60</f>
        <v>700000</v>
      </c>
      <c r="E12" s="33" t="n">
        <f aca="false">Finanzierung!E60</f>
        <v>1522583</v>
      </c>
      <c r="F12" s="33" t="n">
        <f aca="false">Finanzierung!F60</f>
        <v>0</v>
      </c>
      <c r="G12" s="33" t="n">
        <f aca="false">Finanzierung!G60</f>
        <v>0</v>
      </c>
      <c r="H12" s="33" t="n">
        <f aca="false">Finanzierung!H60</f>
        <v>0</v>
      </c>
      <c r="I12" s="33" t="n">
        <f aca="false">Finanzierung!I60</f>
        <v>0</v>
      </c>
      <c r="J12" s="33" t="n">
        <f aca="false">Finanzierung!J60</f>
        <v>0</v>
      </c>
      <c r="K12" s="33" t="n">
        <f aca="false">Finanzierung!K60</f>
        <v>0</v>
      </c>
      <c r="L12" s="33" t="n">
        <f aca="false">Finanzierung!L60</f>
        <v>0</v>
      </c>
      <c r="M12" s="33" t="n">
        <f aca="false">Finanzierung!M60</f>
        <v>0</v>
      </c>
      <c r="N12" s="33" t="n">
        <f aca="false">Finanzierung!N60</f>
        <v>0</v>
      </c>
      <c r="O12" s="33" t="n">
        <f aca="false">Finanzierung!O60</f>
        <v>0</v>
      </c>
      <c r="P12" s="33" t="n">
        <f aca="false">Finanzierung!P60</f>
        <v>0</v>
      </c>
      <c r="Q12" s="33" t="n">
        <f aca="false">Finanzierung!Q60</f>
        <v>0</v>
      </c>
      <c r="R12" s="33" t="n">
        <f aca="false">Finanzierung!R60</f>
        <v>0</v>
      </c>
      <c r="S12" s="33" t="n">
        <f aca="false">Finanzierung!S60</f>
        <v>0</v>
      </c>
      <c r="T12" s="33" t="n">
        <f aca="false">Finanzierung!T60</f>
        <v>0</v>
      </c>
      <c r="U12" s="33" t="n">
        <f aca="false">Finanzierung!U60</f>
        <v>0</v>
      </c>
      <c r="V12" s="33" t="n">
        <f aca="false">Finanzierung!V60</f>
        <v>0</v>
      </c>
      <c r="W12" s="33" t="n">
        <f aca="false">Finanzierung!W60</f>
        <v>0</v>
      </c>
      <c r="X12" s="33" t="n">
        <f aca="false">Finanzierung!X60</f>
        <v>0</v>
      </c>
      <c r="Y12" s="33" t="n">
        <f aca="false">Finanzierung!Y60</f>
        <v>0</v>
      </c>
      <c r="Z12" s="33" t="n">
        <f aca="false">Finanzierung!Z60</f>
        <v>0</v>
      </c>
      <c r="AA12" s="33" t="n">
        <f aca="false">Finanzierung!AA60</f>
        <v>0</v>
      </c>
      <c r="AB12" s="33" t="n">
        <f aca="false">Finanzierung!AB60</f>
        <v>0</v>
      </c>
      <c r="AC12" s="33" t="n">
        <f aca="false">Finanzierung!AC60</f>
        <v>0</v>
      </c>
      <c r="AD12" s="33" t="n">
        <f aca="false">Finanzierung!AD60</f>
        <v>0</v>
      </c>
      <c r="AE12" s="33" t="n">
        <f aca="false">Finanzierung!AE60</f>
        <v>0</v>
      </c>
      <c r="AF12" s="33" t="n">
        <f aca="false">Finanzierung!AF60</f>
        <v>0</v>
      </c>
      <c r="AG12" s="33" t="n">
        <f aca="false">Finanzierung!AG60</f>
        <v>0</v>
      </c>
      <c r="AH12" s="33" t="n">
        <f aca="false">Finanzierung!AH60</f>
        <v>0</v>
      </c>
      <c r="AI12" s="33" t="n">
        <f aca="false">Finanzierung!AI60</f>
        <v>0</v>
      </c>
      <c r="AJ12" s="33" t="n">
        <f aca="false">Finanzierung!AJ60</f>
        <v>0</v>
      </c>
      <c r="AK12" s="33" t="n">
        <f aca="false">Finanzierung!AK60</f>
        <v>0</v>
      </c>
      <c r="AL12" s="33" t="n">
        <f aca="false">Finanzierung!AL60</f>
        <v>0</v>
      </c>
      <c r="AM12" s="33" t="n">
        <f aca="false">Finanzierung!AM60</f>
        <v>0</v>
      </c>
      <c r="AN12" s="33" t="n">
        <f aca="false">Finanzierung!AN60</f>
        <v>0</v>
      </c>
      <c r="AO12" s="33" t="n">
        <f aca="false">Finanzierung!AO60</f>
        <v>0</v>
      </c>
      <c r="AP12" s="33" t="n">
        <f aca="false">Finanzierung!AP60</f>
        <v>0</v>
      </c>
      <c r="AQ12" s="33" t="n">
        <f aca="false">Finanzierung!AQ60</f>
        <v>0</v>
      </c>
      <c r="AR12" s="33" t="n">
        <f aca="false">Finanzierung!AR60</f>
        <v>0</v>
      </c>
      <c r="AS12" s="33" t="n">
        <f aca="false">Finanzierung!AS60</f>
        <v>0</v>
      </c>
      <c r="AT12" s="33" t="n">
        <f aca="false">Finanzierung!AT60</f>
        <v>0</v>
      </c>
      <c r="AU12" s="33" t="n">
        <f aca="false">Finanzierung!AU60</f>
        <v>0</v>
      </c>
      <c r="AV12" s="33" t="n">
        <f aca="false">Finanzierung!AV60</f>
        <v>0</v>
      </c>
      <c r="AW12" s="33" t="n">
        <f aca="false">Finanzierung!AW60</f>
        <v>0</v>
      </c>
      <c r="AX12" s="33" t="n">
        <f aca="false">Finanzierung!AX60</f>
        <v>0</v>
      </c>
      <c r="AY12" s="33" t="n">
        <f aca="false">Finanzierung!AY60</f>
        <v>0</v>
      </c>
      <c r="AZ12" s="33" t="n">
        <f aca="false">Finanzierung!AZ60</f>
        <v>0</v>
      </c>
      <c r="BA12" s="33" t="n">
        <f aca="false">Finanzierung!BA60</f>
        <v>0</v>
      </c>
      <c r="BB12" s="33" t="n">
        <f aca="false">Finanzierung!BB60</f>
        <v>0</v>
      </c>
      <c r="BC12" s="33" t="n">
        <f aca="false">Finanzierung!BC60</f>
        <v>0</v>
      </c>
      <c r="BD12" s="33" t="n">
        <f aca="false">Finanzierung!BD60</f>
        <v>0</v>
      </c>
      <c r="BE12" s="33" t="n">
        <f aca="false">Finanzierung!BE60</f>
        <v>0</v>
      </c>
      <c r="BF12" s="33" t="n">
        <f aca="false">Finanzierung!BF60</f>
        <v>0</v>
      </c>
      <c r="BG12" s="33" t="n">
        <f aca="false">Finanzierung!BG60</f>
        <v>0</v>
      </c>
      <c r="BH12" s="33" t="n">
        <f aca="false">Finanzierung!BH60</f>
        <v>0</v>
      </c>
      <c r="BI12" s="33" t="n">
        <f aca="false">Finanzierung!BI60</f>
        <v>0</v>
      </c>
      <c r="BJ12" s="33" t="n">
        <f aca="false">Finanzierung!BJ60</f>
        <v>0</v>
      </c>
      <c r="BK12" s="33" t="n">
        <f aca="false">Finanzierung!BK60</f>
        <v>0</v>
      </c>
      <c r="BL12" s="33" t="n">
        <f aca="false">Finanzierung!BL60</f>
        <v>0</v>
      </c>
      <c r="BM12" s="33" t="n">
        <f aca="false">Finanzierung!BM60</f>
        <v>0</v>
      </c>
      <c r="BN12" s="33" t="n">
        <f aca="false">Finanzierung!BN60</f>
        <v>0</v>
      </c>
      <c r="BO12" s="33" t="n">
        <f aca="false">Finanzierung!BO60</f>
        <v>0</v>
      </c>
    </row>
    <row r="13" customFormat="false" ht="15" hidden="false" customHeight="false" outlineLevel="0" collapsed="false">
      <c r="B13" s="8" t="s">
        <v>435</v>
      </c>
      <c r="C13" s="35" t="n">
        <f aca="false">C9+C10+C11+C12</f>
        <v>400000</v>
      </c>
      <c r="D13" s="35" t="n">
        <f aca="false">D9+D10+D11+D12</f>
        <v>705490.658</v>
      </c>
      <c r="E13" s="35" t="n">
        <f aca="false">E9+E10+E11+E12</f>
        <v>1577044.543</v>
      </c>
      <c r="F13" s="35" t="n">
        <f aca="false">F9+F10+F11+F12</f>
        <v>56678.2096666667</v>
      </c>
      <c r="G13" s="35" t="n">
        <f aca="false">G9+G10+G11+G12</f>
        <v>66699.1326666667</v>
      </c>
      <c r="H13" s="35" t="n">
        <f aca="false">H9+H10+H11+H12</f>
        <v>202882.127666667</v>
      </c>
      <c r="I13" s="35" t="n">
        <f aca="false">I9+I10+I11+I12</f>
        <v>42146.5364578431</v>
      </c>
      <c r="J13" s="35" t="n">
        <f aca="false">J9+J10+J11+J12</f>
        <v>48649.6400962608</v>
      </c>
      <c r="K13" s="35" t="n">
        <f aca="false">K9+K10+K11+K12</f>
        <v>52427.6754546332</v>
      </c>
      <c r="L13" s="35" t="n">
        <f aca="false">L9+L10+L11+L12</f>
        <v>55638.4279131425</v>
      </c>
      <c r="M13" s="35" t="n">
        <f aca="false">M9+M10+M11+M12</f>
        <v>60539.8424990534</v>
      </c>
      <c r="N13" s="35" t="n">
        <f aca="false">N9+N10+N11+N12</f>
        <v>65333.4259640742</v>
      </c>
      <c r="O13" s="35" t="n">
        <f aca="false">O9+O10+O11+O12</f>
        <v>70021.5505928645</v>
      </c>
      <c r="P13" s="35" t="n">
        <f aca="false">P9+P10+P11+P12</f>
        <v>74606.5364798215</v>
      </c>
      <c r="Q13" s="35" t="n">
        <f aca="false">Q9+Q10+Q11+Q12</f>
        <v>79090.6526772655</v>
      </c>
      <c r="R13" s="35" t="n">
        <f aca="false">R9+R10+R11+R12</f>
        <v>83476.1183183656</v>
      </c>
      <c r="S13" s="35" t="n">
        <f aca="false">S9+S10+S11+S12</f>
        <v>87765.1037153616</v>
      </c>
      <c r="T13" s="35" t="n">
        <f aca="false">T9+T10+T11+T12</f>
        <v>91314.2314336236</v>
      </c>
      <c r="U13" s="35" t="n">
        <f aca="false">U9+U10+U11+U12</f>
        <v>94818.2323420839</v>
      </c>
      <c r="V13" s="35" t="n">
        <f aca="false">V9+V10+V11+V12</f>
        <v>98245.1452305581</v>
      </c>
      <c r="W13" s="35" t="n">
        <f aca="false">W9+W10+W11+W12</f>
        <v>101596.666035486</v>
      </c>
      <c r="X13" s="35" t="n">
        <f aca="false">X9+X10+X11+X12</f>
        <v>104874.453382705</v>
      </c>
      <c r="Y13" s="35" t="n">
        <f aca="false">Y9+Y10+Y11+Y12</f>
        <v>108080.129408286</v>
      </c>
      <c r="Z13" s="35" t="n">
        <f aca="false">Z9+Z10+Z11+Z12</f>
        <v>111215.280561303</v>
      </c>
      <c r="AA13" s="35" t="n">
        <f aca="false">AA9+AA10+AA11+AA12</f>
        <v>114281.458388955</v>
      </c>
      <c r="AB13" s="35" t="n">
        <f aca="false">AB9+AB10+AB11+AB12</f>
        <v>117280.180304398</v>
      </c>
      <c r="AC13" s="35" t="n">
        <f aca="false">AC9+AC10+AC11+AC12</f>
        <v>120212.930337701</v>
      </c>
      <c r="AD13" s="35" t="n">
        <f aca="false">AD9+AD10+AD11+AD12</f>
        <v>123081.159870271</v>
      </c>
      <c r="AE13" s="35" t="n">
        <f aca="false">AE9+AE10+AE11+AE12</f>
        <v>125886.288353126</v>
      </c>
      <c r="AF13" s="35" t="n">
        <f aca="false">AF9+AF10+AF11+AF12</f>
        <v>130060.50028409</v>
      </c>
      <c r="AG13" s="35" t="n">
        <f aca="false">AG9+AG10+AG11+AG12</f>
        <v>132179.77727784</v>
      </c>
      <c r="AH13" s="35" t="n">
        <f aca="false">AH9+AH10+AH11+AH12</f>
        <v>134252.430177728</v>
      </c>
      <c r="AI13" s="35" t="n">
        <f aca="false">AI9+AI10+AI11+AI12</f>
        <v>136279.484713818</v>
      </c>
      <c r="AJ13" s="35" t="n">
        <f aca="false">AJ9+AJ10+AJ11+AJ12</f>
        <v>137666.169590553</v>
      </c>
      <c r="AK13" s="35" t="n">
        <f aca="false">AK9+AK10+AK11+AK12</f>
        <v>138050.6</v>
      </c>
      <c r="AL13" s="35" t="n">
        <f aca="false">AL9+AL10+AL11+AL12</f>
        <v>138050.6</v>
      </c>
      <c r="AM13" s="35" t="n">
        <f aca="false">AM9+AM10+AM11+AM12</f>
        <v>138050.6</v>
      </c>
      <c r="AN13" s="35" t="n">
        <f aca="false">AN9+AN10+AN11+AN12</f>
        <v>138050.6</v>
      </c>
      <c r="AO13" s="35" t="n">
        <f aca="false">AO9+AO10+AO11+AO12</f>
        <v>138050.6</v>
      </c>
      <c r="AP13" s="35" t="n">
        <f aca="false">AP9+AP10+AP11+AP12</f>
        <v>138050.6</v>
      </c>
      <c r="AQ13" s="35" t="n">
        <f aca="false">AQ9+AQ10+AQ11+AQ12</f>
        <v>138050.6</v>
      </c>
      <c r="AR13" s="35" t="n">
        <f aca="false">AR9+AR10+AR11+AR12</f>
        <v>140129.832</v>
      </c>
      <c r="AS13" s="35" t="n">
        <f aca="false">AS9+AS10+AS11+AS12</f>
        <v>140129.832</v>
      </c>
      <c r="AT13" s="35" t="n">
        <f aca="false">AT9+AT10+AT11+AT12</f>
        <v>140129.832</v>
      </c>
      <c r="AU13" s="35" t="n">
        <f aca="false">AU9+AU10+AU11+AU12</f>
        <v>140129.832</v>
      </c>
      <c r="AV13" s="35" t="n">
        <f aca="false">AV9+AV10+AV11+AV12</f>
        <v>140129.832</v>
      </c>
      <c r="AW13" s="35" t="n">
        <f aca="false">AW9+AW10+AW11+AW12</f>
        <v>140129.832</v>
      </c>
      <c r="AX13" s="35" t="n">
        <f aca="false">AX9+AX10+AX11+AX12</f>
        <v>140129.832</v>
      </c>
      <c r="AY13" s="35" t="n">
        <f aca="false">AY9+AY10+AY11+AY12</f>
        <v>140129.832</v>
      </c>
      <c r="AZ13" s="35" t="n">
        <f aca="false">AZ9+AZ10+AZ11+AZ12</f>
        <v>140129.832</v>
      </c>
      <c r="BA13" s="35" t="n">
        <f aca="false">BA9+BA10+BA11+BA12</f>
        <v>140129.832</v>
      </c>
      <c r="BB13" s="35" t="n">
        <f aca="false">BB9+BB10+BB11+BB12</f>
        <v>140129.832</v>
      </c>
      <c r="BC13" s="35" t="n">
        <f aca="false">BC9+BC10+BC11+BC12</f>
        <v>140129.832</v>
      </c>
      <c r="BD13" s="35" t="n">
        <f aca="false">BD9+BD10+BD11+BD12</f>
        <v>142425.57864</v>
      </c>
      <c r="BE13" s="35" t="n">
        <f aca="false">BE9+BE10+BE11+BE12</f>
        <v>142425.57864</v>
      </c>
      <c r="BF13" s="35" t="n">
        <f aca="false">BF9+BF10+BF11+BF12</f>
        <v>142425.57864</v>
      </c>
      <c r="BG13" s="35" t="n">
        <f aca="false">BG9+BG10+BG11+BG12</f>
        <v>142425.57864</v>
      </c>
      <c r="BH13" s="35" t="n">
        <f aca="false">BH9+BH10+BH11+BH12</f>
        <v>142425.57864</v>
      </c>
      <c r="BI13" s="35" t="n">
        <f aca="false">BI9+BI10+BI11+BI12</f>
        <v>142425.57864</v>
      </c>
      <c r="BJ13" s="35" t="n">
        <f aca="false">BJ9+BJ10+BJ11+BJ12</f>
        <v>142425.57864</v>
      </c>
      <c r="BK13" s="35" t="n">
        <f aca="false">BK9+BK10+BK11+BK12</f>
        <v>142425.57864</v>
      </c>
      <c r="BL13" s="35" t="n">
        <f aca="false">BL9+BL10+BL11+BL12</f>
        <v>142425.57864</v>
      </c>
      <c r="BM13" s="35" t="n">
        <f aca="false">BM9+BM10+BM11+BM12</f>
        <v>142425.57864</v>
      </c>
      <c r="BN13" s="35" t="n">
        <f aca="false">BN9+BN10+BN11+BN12</f>
        <v>142425.57864</v>
      </c>
      <c r="BO13" s="35" t="n">
        <f aca="false">BO9+BO10+BO11+BO12</f>
        <v>142425.57864</v>
      </c>
    </row>
    <row r="14" customFormat="false" ht="15" hidden="false" customHeight="false" outlineLevel="0" collapsed="false">
      <c r="B14" s="8" t="s">
        <v>436</v>
      </c>
    </row>
    <row r="15" customFormat="false" ht="15" hidden="false" customHeight="false" outlineLevel="0" collapsed="false">
      <c r="B15" s="2" t="s">
        <v>437</v>
      </c>
      <c r="C15" s="33" t="n">
        <f aca="false">Kosten!C23+Kosten!C25</f>
        <v>0</v>
      </c>
      <c r="D15" s="33" t="n">
        <f aca="false">Kosten!D23+Kosten!D25</f>
        <v>1190</v>
      </c>
      <c r="E15" s="33" t="n">
        <f aca="false">Kosten!E23+Kosten!E25</f>
        <v>19318.8333333333</v>
      </c>
      <c r="F15" s="33" t="n">
        <f aca="false">Kosten!F23+Kosten!F25</f>
        <v>48368.2563333333</v>
      </c>
      <c r="G15" s="33" t="n">
        <f aca="false">Kosten!G23+Kosten!G25</f>
        <v>55646.2563333333</v>
      </c>
      <c r="H15" s="33" t="n">
        <f aca="false">Kosten!H23+Kosten!H25</f>
        <v>86258.2113933333</v>
      </c>
      <c r="I15" s="33" t="n">
        <f aca="false">Kosten!I23+Kosten!I25</f>
        <v>86472.0639710133</v>
      </c>
      <c r="J15" s="33" t="n">
        <f aca="false">Kosten!J23+Kosten!J25</f>
        <v>86681.2117919844</v>
      </c>
      <c r="K15" s="33" t="n">
        <f aca="false">Kosten!K23+Kosten!K25</f>
        <v>79702.0943608941</v>
      </c>
      <c r="L15" s="33" t="n">
        <f aca="false">Kosten!L23+Kosten!L25</f>
        <v>79837.4840412877</v>
      </c>
      <c r="M15" s="33" t="n">
        <f aca="false">Kosten!M23+Kosten!M25</f>
        <v>79969.8951487127</v>
      </c>
      <c r="N15" s="33" t="n">
        <f aca="false">Kosten!N23+Kosten!N25</f>
        <v>80099.3932117744</v>
      </c>
      <c r="O15" s="33" t="n">
        <f aca="false">Kosten!O23+Kosten!O25</f>
        <v>80226.0423174487</v>
      </c>
      <c r="P15" s="33" t="n">
        <f aca="false">Kosten!P23+Kosten!P25</f>
        <v>80349.9051427981</v>
      </c>
      <c r="Q15" s="33" t="n">
        <f aca="false">Kosten!Q23+Kosten!Q25</f>
        <v>80471.0429859899</v>
      </c>
      <c r="R15" s="33" t="n">
        <f aca="false">Kosten!R23+Kosten!R25</f>
        <v>80589.5157966315</v>
      </c>
      <c r="S15" s="33" t="n">
        <f aca="false">Kosten!S23+Kosten!S25</f>
        <v>80705.3822054389</v>
      </c>
      <c r="T15" s="33" t="n">
        <f aca="false">Kosten!T23+Kosten!T25</f>
        <v>85650.7075732526</v>
      </c>
      <c r="U15" s="33" t="n">
        <f aca="false">Kosten!U23+Kosten!U25</f>
        <v>85745.3677234144</v>
      </c>
      <c r="V15" s="33" t="n">
        <f aca="false">Kosten!V23+Kosten!V25</f>
        <v>85837.9453502726</v>
      </c>
      <c r="W15" s="33" t="n">
        <f aca="false">Kosten!W23+Kosten!W25</f>
        <v>85928.4862693399</v>
      </c>
      <c r="X15" s="33" t="n">
        <f aca="false">Kosten!X23+Kosten!X25</f>
        <v>86017.0352881878</v>
      </c>
      <c r="Y15" s="33" t="n">
        <f aca="false">Kosten!Y23+Kosten!Y25</f>
        <v>86103.636228621</v>
      </c>
      <c r="Z15" s="33" t="n">
        <f aca="false">Kosten!Z23+Kosten!Z25</f>
        <v>86188.3319483646</v>
      </c>
      <c r="AA15" s="33" t="n">
        <f aca="false">Kosten!AA23+Kosten!AA25</f>
        <v>86271.164362274</v>
      </c>
      <c r="AB15" s="33" t="n">
        <f aca="false">Kosten!AB23+Kosten!AB25</f>
        <v>86352.1744630772</v>
      </c>
      <c r="AC15" s="33" t="n">
        <f aca="false">Kosten!AC23+Kosten!AC25</f>
        <v>86431.4023416629</v>
      </c>
      <c r="AD15" s="33" t="n">
        <f aca="false">Kosten!AD23+Kosten!AD25</f>
        <v>86508.8872069196</v>
      </c>
      <c r="AE15" s="33" t="n">
        <f aca="false">Kosten!AE23+Kosten!AE25</f>
        <v>86584.6674051407</v>
      </c>
      <c r="AF15" s="33" t="n">
        <f aca="false">Kosten!AF23+Kosten!AF25</f>
        <v>87896.4988125989</v>
      </c>
      <c r="AG15" s="33" t="n">
        <f aca="false">Kosten!AG23+Kosten!AG25</f>
        <v>87953.0936355698</v>
      </c>
      <c r="AH15" s="33" t="n">
        <f aca="false">Kosten!AH23+Kosten!AH25</f>
        <v>88008.4433724354</v>
      </c>
      <c r="AI15" s="33" t="n">
        <f aca="false">Kosten!AI23+Kosten!AI25</f>
        <v>88062.57541509</v>
      </c>
      <c r="AJ15" s="33" t="n">
        <f aca="false">Kosten!AJ23+Kosten!AJ25</f>
        <v>88099.6065277509</v>
      </c>
      <c r="AK15" s="33" t="n">
        <f aca="false">Kosten!AK23+Kosten!AK25</f>
        <v>88109.8726567333</v>
      </c>
      <c r="AL15" s="33" t="n">
        <f aca="false">Kosten!AL23+Kosten!AL25</f>
        <v>88109.8726567333</v>
      </c>
      <c r="AM15" s="33" t="n">
        <f aca="false">Kosten!AM23+Kosten!AM25</f>
        <v>88109.8726567333</v>
      </c>
      <c r="AN15" s="33" t="n">
        <f aca="false">Kosten!AN23+Kosten!AN25</f>
        <v>88109.8726567333</v>
      </c>
      <c r="AO15" s="33" t="n">
        <f aca="false">Kosten!AO23+Kosten!AO25</f>
        <v>88109.8726567333</v>
      </c>
      <c r="AP15" s="33" t="n">
        <f aca="false">Kosten!AP23+Kosten!AP25</f>
        <v>88109.8726567333</v>
      </c>
      <c r="AQ15" s="33" t="n">
        <f aca="false">Kosten!AQ23+Kosten!AQ25</f>
        <v>88109.8726567333</v>
      </c>
      <c r="AR15" s="33" t="n">
        <f aca="false">Kosten!AR23+Kosten!AR25</f>
        <v>89387.2930367763</v>
      </c>
      <c r="AS15" s="33" t="n">
        <f aca="false">Kosten!AS23+Kosten!AS25</f>
        <v>89387.2930367763</v>
      </c>
      <c r="AT15" s="33" t="n">
        <f aca="false">Kosten!AT23+Kosten!AT25</f>
        <v>89387.2930367763</v>
      </c>
      <c r="AU15" s="33" t="n">
        <f aca="false">Kosten!AU23+Kosten!AU25</f>
        <v>89387.2930367763</v>
      </c>
      <c r="AV15" s="33" t="n">
        <f aca="false">Kosten!AV23+Kosten!AV25</f>
        <v>89387.2930367763</v>
      </c>
      <c r="AW15" s="33" t="n">
        <f aca="false">Kosten!AW23+Kosten!AW25</f>
        <v>89387.2930367763</v>
      </c>
      <c r="AX15" s="33" t="n">
        <f aca="false">Kosten!AX23+Kosten!AX25</f>
        <v>89387.2930367763</v>
      </c>
      <c r="AY15" s="33" t="n">
        <f aca="false">Kosten!AY23+Kosten!AY25</f>
        <v>89387.2930367763</v>
      </c>
      <c r="AZ15" s="33" t="n">
        <f aca="false">Kosten!AZ23+Kosten!AZ25</f>
        <v>89387.2930367763</v>
      </c>
      <c r="BA15" s="33" t="n">
        <f aca="false">Kosten!BA23+Kosten!BA25</f>
        <v>89387.2930367763</v>
      </c>
      <c r="BB15" s="33" t="n">
        <f aca="false">Kosten!BB23+Kosten!BB25</f>
        <v>89387.2930367763</v>
      </c>
      <c r="BC15" s="33" t="n">
        <f aca="false">Kosten!BC23+Kosten!BC25</f>
        <v>89387.2930367763</v>
      </c>
      <c r="BD15" s="33" t="n">
        <f aca="false">Kosten!BD23+Kosten!BD25</f>
        <v>90695.8863560096</v>
      </c>
      <c r="BE15" s="33" t="n">
        <f aca="false">Kosten!BE23+Kosten!BE25</f>
        <v>90695.8863560096</v>
      </c>
      <c r="BF15" s="33" t="n">
        <f aca="false">Kosten!BF23+Kosten!BF25</f>
        <v>90695.8863560096</v>
      </c>
      <c r="BG15" s="33" t="n">
        <f aca="false">Kosten!BG23+Kosten!BG25</f>
        <v>90695.8863560096</v>
      </c>
      <c r="BH15" s="33" t="n">
        <f aca="false">Kosten!BH23+Kosten!BH25</f>
        <v>90695.8863560096</v>
      </c>
      <c r="BI15" s="33" t="n">
        <f aca="false">Kosten!BI23+Kosten!BI25</f>
        <v>90695.8863560096</v>
      </c>
      <c r="BJ15" s="33" t="n">
        <f aca="false">Kosten!BJ23+Kosten!BJ25</f>
        <v>90695.8863560096</v>
      </c>
      <c r="BK15" s="33" t="n">
        <f aca="false">Kosten!BK23+Kosten!BK25</f>
        <v>90695.8863560096</v>
      </c>
      <c r="BL15" s="33" t="n">
        <f aca="false">Kosten!BL23+Kosten!BL25</f>
        <v>90695.8863560096</v>
      </c>
      <c r="BM15" s="33" t="n">
        <f aca="false">Kosten!BM23+Kosten!BM25</f>
        <v>90695.8863560096</v>
      </c>
      <c r="BN15" s="33" t="n">
        <f aca="false">Kosten!BN23+Kosten!BN25</f>
        <v>90695.8863560096</v>
      </c>
      <c r="BO15" s="33" t="n">
        <f aca="false">Kosten!BO23+Kosten!BO25</f>
        <v>90695.8863560096</v>
      </c>
    </row>
    <row r="16" customFormat="false" ht="15" hidden="false" customHeight="false" outlineLevel="0" collapsed="false">
      <c r="B16" s="2" t="s">
        <v>438</v>
      </c>
      <c r="C16" s="33" t="n">
        <f aca="false">IFERROR(INDEX(ZP_Netto,MATCH(C$4,ZP_Monat,0))+INDEX(ZP_Vst,MATCH(C$4,ZP_Monat,0)),0)</f>
        <v>120318.858</v>
      </c>
      <c r="D16" s="33" t="n">
        <f aca="false">IFERROR(INDEX(ZP_Netto,MATCH(D$4,ZP_Monat,0))+INDEX(ZP_Vst,MATCH(D$4,ZP_Monat,0)),0)</f>
        <v>339911.243</v>
      </c>
      <c r="E16" s="33" t="n">
        <f aca="false">IFERROR(INDEX(ZP_Netto,MATCH(E$4,ZP_Monat,0))+INDEX(ZP_Vst,MATCH(E$4,ZP_Monat,0)),0)</f>
        <v>339911.243</v>
      </c>
      <c r="F16" s="33" t="n">
        <f aca="false">IFERROR(INDEX(ZP_Netto,MATCH(F$4,ZP_Monat,0))+INDEX(ZP_Vst,MATCH(F$4,ZP_Monat,0)),0)</f>
        <v>377991.243</v>
      </c>
      <c r="G16" s="33" t="n">
        <f aca="false">IFERROR(INDEX(ZP_Netto,MATCH(G$4,ZP_Monat,0))+INDEX(ZP_Vst,MATCH(G$4,ZP_Monat,0)),0)</f>
        <v>1075391.163</v>
      </c>
      <c r="H16" s="33" t="n">
        <f aca="false">IFERROR(INDEX(ZP_Netto,MATCH(H$4,ZP_Monat,0))+INDEX(ZP_Vst,MATCH(H$4,ZP_Monat,0)),0)</f>
        <v>0</v>
      </c>
      <c r="I16" s="33" t="n">
        <f aca="false">IFERROR(INDEX(ZP_Netto,MATCH(I$4,ZP_Monat,0))+INDEX(ZP_Vst,MATCH(I$4,ZP_Monat,0)),0)</f>
        <v>0</v>
      </c>
      <c r="J16" s="33" t="n">
        <f aca="false">IFERROR(INDEX(ZP_Netto,MATCH(J$4,ZP_Monat,0))+INDEX(ZP_Vst,MATCH(J$4,ZP_Monat,0)),0)</f>
        <v>0</v>
      </c>
      <c r="K16" s="33" t="n">
        <f aca="false">IFERROR(INDEX(ZP_Netto,MATCH(K$4,ZP_Monat,0))+INDEX(ZP_Vst,MATCH(K$4,ZP_Monat,0)),0)</f>
        <v>0</v>
      </c>
      <c r="L16" s="33" t="n">
        <f aca="false">IFERROR(INDEX(ZP_Netto,MATCH(L$4,ZP_Monat,0))+INDEX(ZP_Vst,MATCH(L$4,ZP_Monat,0)),0)</f>
        <v>0</v>
      </c>
      <c r="M16" s="33" t="n">
        <f aca="false">IFERROR(INDEX(ZP_Netto,MATCH(M$4,ZP_Monat,0))+INDEX(ZP_Vst,MATCH(M$4,ZP_Monat,0)),0)</f>
        <v>0</v>
      </c>
      <c r="N16" s="33" t="n">
        <f aca="false">IFERROR(INDEX(ZP_Netto,MATCH(N$4,ZP_Monat,0))+INDEX(ZP_Vst,MATCH(N$4,ZP_Monat,0)),0)</f>
        <v>0</v>
      </c>
      <c r="O16" s="33" t="n">
        <f aca="false">IFERROR(INDEX(ZP_Netto,MATCH(O$4,ZP_Monat,0))+INDEX(ZP_Vst,MATCH(O$4,ZP_Monat,0)),0)</f>
        <v>0</v>
      </c>
      <c r="P16" s="33" t="n">
        <f aca="false">IFERROR(INDEX(ZP_Netto,MATCH(P$4,ZP_Monat,0))+INDEX(ZP_Vst,MATCH(P$4,ZP_Monat,0)),0)</f>
        <v>0</v>
      </c>
      <c r="Q16" s="33" t="n">
        <f aca="false">IFERROR(INDEX(ZP_Netto,MATCH(Q$4,ZP_Monat,0))+INDEX(ZP_Vst,MATCH(Q$4,ZP_Monat,0)),0)</f>
        <v>0</v>
      </c>
      <c r="R16" s="33" t="n">
        <f aca="false">IFERROR(INDEX(ZP_Netto,MATCH(R$4,ZP_Monat,0))+INDEX(ZP_Vst,MATCH(R$4,ZP_Monat,0)),0)</f>
        <v>0</v>
      </c>
      <c r="S16" s="33" t="n">
        <f aca="false">IFERROR(INDEX(ZP_Netto,MATCH(S$4,ZP_Monat,0))+INDEX(ZP_Vst,MATCH(S$4,ZP_Monat,0)),0)</f>
        <v>0</v>
      </c>
      <c r="T16" s="33" t="n">
        <f aca="false">IFERROR(INDEX(ZP_Netto,MATCH(T$4,ZP_Monat,0))+INDEX(ZP_Vst,MATCH(T$4,ZP_Monat,0)),0)</f>
        <v>0</v>
      </c>
      <c r="U16" s="33" t="n">
        <f aca="false">IFERROR(INDEX(ZP_Netto,MATCH(U$4,ZP_Monat,0))+INDEX(ZP_Vst,MATCH(U$4,ZP_Monat,0)),0)</f>
        <v>0</v>
      </c>
      <c r="V16" s="33" t="n">
        <f aca="false">IFERROR(INDEX(ZP_Netto,MATCH(V$4,ZP_Monat,0))+INDEX(ZP_Vst,MATCH(V$4,ZP_Monat,0)),0)</f>
        <v>0</v>
      </c>
      <c r="W16" s="33" t="n">
        <f aca="false">IFERROR(INDEX(ZP_Netto,MATCH(W$4,ZP_Monat,0))+INDEX(ZP_Vst,MATCH(W$4,ZP_Monat,0)),0)</f>
        <v>0</v>
      </c>
      <c r="X16" s="33" t="n">
        <f aca="false">IFERROR(INDEX(ZP_Netto,MATCH(X$4,ZP_Monat,0))+INDEX(ZP_Vst,MATCH(X$4,ZP_Monat,0)),0)</f>
        <v>0</v>
      </c>
      <c r="Y16" s="33" t="n">
        <f aca="false">IFERROR(INDEX(ZP_Netto,MATCH(Y$4,ZP_Monat,0))+INDEX(ZP_Vst,MATCH(Y$4,ZP_Monat,0)),0)</f>
        <v>0</v>
      </c>
      <c r="Z16" s="33" t="n">
        <f aca="false">IFERROR(INDEX(ZP_Netto,MATCH(Z$4,ZP_Monat,0))+INDEX(ZP_Vst,MATCH(Z$4,ZP_Monat,0)),0)</f>
        <v>0</v>
      </c>
      <c r="AA16" s="33" t="n">
        <f aca="false">IFERROR(INDEX(ZP_Netto,MATCH(AA$4,ZP_Monat,0))+INDEX(ZP_Vst,MATCH(AA$4,ZP_Monat,0)),0)</f>
        <v>0</v>
      </c>
      <c r="AB16" s="33" t="n">
        <f aca="false">IFERROR(INDEX(ZP_Netto,MATCH(AB$4,ZP_Monat,0))+INDEX(ZP_Vst,MATCH(AB$4,ZP_Monat,0)),0)</f>
        <v>0</v>
      </c>
      <c r="AC16" s="33" t="n">
        <f aca="false">IFERROR(INDEX(ZP_Netto,MATCH(AC$4,ZP_Monat,0))+INDEX(ZP_Vst,MATCH(AC$4,ZP_Monat,0)),0)</f>
        <v>0</v>
      </c>
      <c r="AD16" s="33" t="n">
        <f aca="false">IFERROR(INDEX(ZP_Netto,MATCH(AD$4,ZP_Monat,0))+INDEX(ZP_Vst,MATCH(AD$4,ZP_Monat,0)),0)</f>
        <v>0</v>
      </c>
      <c r="AE16" s="33" t="n">
        <f aca="false">IFERROR(INDEX(ZP_Netto,MATCH(AE$4,ZP_Monat,0))+INDEX(ZP_Vst,MATCH(AE$4,ZP_Monat,0)),0)</f>
        <v>0</v>
      </c>
      <c r="AF16" s="33" t="n">
        <f aca="false">IFERROR(INDEX(ZP_Netto,MATCH(AF$4,ZP_Monat,0))+INDEX(ZP_Vst,MATCH(AF$4,ZP_Monat,0)),0)</f>
        <v>0</v>
      </c>
      <c r="AG16" s="33" t="n">
        <f aca="false">IFERROR(INDEX(ZP_Netto,MATCH(AG$4,ZP_Monat,0))+INDEX(ZP_Vst,MATCH(AG$4,ZP_Monat,0)),0)</f>
        <v>0</v>
      </c>
      <c r="AH16" s="33" t="n">
        <f aca="false">IFERROR(INDEX(ZP_Netto,MATCH(AH$4,ZP_Monat,0))+INDEX(ZP_Vst,MATCH(AH$4,ZP_Monat,0)),0)</f>
        <v>0</v>
      </c>
      <c r="AI16" s="33" t="n">
        <f aca="false">IFERROR(INDEX(ZP_Netto,MATCH(AI$4,ZP_Monat,0))+INDEX(ZP_Vst,MATCH(AI$4,ZP_Monat,0)),0)</f>
        <v>0</v>
      </c>
      <c r="AJ16" s="33" t="n">
        <f aca="false">IFERROR(INDEX(ZP_Netto,MATCH(AJ$4,ZP_Monat,0))+INDEX(ZP_Vst,MATCH(AJ$4,ZP_Monat,0)),0)</f>
        <v>0</v>
      </c>
      <c r="AK16" s="33" t="n">
        <f aca="false">IFERROR(INDEX(ZP_Netto,MATCH(AK$4,ZP_Monat,0))+INDEX(ZP_Vst,MATCH(AK$4,ZP_Monat,0)),0)</f>
        <v>0</v>
      </c>
      <c r="AL16" s="33" t="n">
        <f aca="false">IFERROR(INDEX(ZP_Netto,MATCH(AL$4,ZP_Monat,0))+INDEX(ZP_Vst,MATCH(AL$4,ZP_Monat,0)),0)</f>
        <v>0</v>
      </c>
      <c r="AM16" s="33" t="n">
        <f aca="false">IFERROR(INDEX(ZP_Netto,MATCH(AM$4,ZP_Monat,0))+INDEX(ZP_Vst,MATCH(AM$4,ZP_Monat,0)),0)</f>
        <v>0</v>
      </c>
      <c r="AN16" s="33" t="n">
        <f aca="false">IFERROR(INDEX(ZP_Netto,MATCH(AN$4,ZP_Monat,0))+INDEX(ZP_Vst,MATCH(AN$4,ZP_Monat,0)),0)</f>
        <v>0</v>
      </c>
      <c r="AO16" s="33" t="n">
        <f aca="false">IFERROR(INDEX(ZP_Netto,MATCH(AO$4,ZP_Monat,0))+INDEX(ZP_Vst,MATCH(AO$4,ZP_Monat,0)),0)</f>
        <v>0</v>
      </c>
      <c r="AP16" s="33" t="n">
        <f aca="false">IFERROR(INDEX(ZP_Netto,MATCH(AP$4,ZP_Monat,0))+INDEX(ZP_Vst,MATCH(AP$4,ZP_Monat,0)),0)</f>
        <v>0</v>
      </c>
      <c r="AQ16" s="33" t="n">
        <f aca="false">IFERROR(INDEX(ZP_Netto,MATCH(AQ$4,ZP_Monat,0))+INDEX(ZP_Vst,MATCH(AQ$4,ZP_Monat,0)),0)</f>
        <v>0</v>
      </c>
      <c r="AR16" s="33" t="n">
        <f aca="false">IFERROR(INDEX(ZP_Netto,MATCH(AR$4,ZP_Monat,0))+INDEX(ZP_Vst,MATCH(AR$4,ZP_Monat,0)),0)</f>
        <v>0</v>
      </c>
      <c r="AS16" s="33" t="n">
        <f aca="false">IFERROR(INDEX(ZP_Netto,MATCH(AS$4,ZP_Monat,0))+INDEX(ZP_Vst,MATCH(AS$4,ZP_Monat,0)),0)</f>
        <v>0</v>
      </c>
      <c r="AT16" s="33" t="n">
        <f aca="false">IFERROR(INDEX(ZP_Netto,MATCH(AT$4,ZP_Monat,0))+INDEX(ZP_Vst,MATCH(AT$4,ZP_Monat,0)),0)</f>
        <v>0</v>
      </c>
      <c r="AU16" s="33" t="n">
        <f aca="false">IFERROR(INDEX(ZP_Netto,MATCH(AU$4,ZP_Monat,0))+INDEX(ZP_Vst,MATCH(AU$4,ZP_Monat,0)),0)</f>
        <v>0</v>
      </c>
      <c r="AV16" s="33" t="n">
        <f aca="false">IFERROR(INDEX(ZP_Netto,MATCH(AV$4,ZP_Monat,0))+INDEX(ZP_Vst,MATCH(AV$4,ZP_Monat,0)),0)</f>
        <v>0</v>
      </c>
      <c r="AW16" s="33" t="n">
        <f aca="false">IFERROR(INDEX(ZP_Netto,MATCH(AW$4,ZP_Monat,0))+INDEX(ZP_Vst,MATCH(AW$4,ZP_Monat,0)),0)</f>
        <v>0</v>
      </c>
      <c r="AX16" s="33" t="n">
        <f aca="false">IFERROR(INDEX(ZP_Netto,MATCH(AX$4,ZP_Monat,0))+INDEX(ZP_Vst,MATCH(AX$4,ZP_Monat,0)),0)</f>
        <v>0</v>
      </c>
      <c r="AY16" s="33" t="n">
        <f aca="false">IFERROR(INDEX(ZP_Netto,MATCH(AY$4,ZP_Monat,0))+INDEX(ZP_Vst,MATCH(AY$4,ZP_Monat,0)),0)</f>
        <v>0</v>
      </c>
      <c r="AZ16" s="33" t="n">
        <f aca="false">IFERROR(INDEX(ZP_Netto,MATCH(AZ$4,ZP_Monat,0))+INDEX(ZP_Vst,MATCH(AZ$4,ZP_Monat,0)),0)</f>
        <v>0</v>
      </c>
      <c r="BA16" s="33" t="n">
        <f aca="false">IFERROR(INDEX(ZP_Netto,MATCH(BA$4,ZP_Monat,0))+INDEX(ZP_Vst,MATCH(BA$4,ZP_Monat,0)),0)</f>
        <v>0</v>
      </c>
      <c r="BB16" s="33" t="n">
        <f aca="false">IFERROR(INDEX(ZP_Netto,MATCH(BB$4,ZP_Monat,0))+INDEX(ZP_Vst,MATCH(BB$4,ZP_Monat,0)),0)</f>
        <v>0</v>
      </c>
      <c r="BC16" s="33" t="n">
        <f aca="false">IFERROR(INDEX(ZP_Netto,MATCH(BC$4,ZP_Monat,0))+INDEX(ZP_Vst,MATCH(BC$4,ZP_Monat,0)),0)</f>
        <v>0</v>
      </c>
      <c r="BD16" s="33" t="n">
        <f aca="false">IFERROR(INDEX(ZP_Netto,MATCH(BD$4,ZP_Monat,0))+INDEX(ZP_Vst,MATCH(BD$4,ZP_Monat,0)),0)</f>
        <v>0</v>
      </c>
      <c r="BE16" s="33" t="n">
        <f aca="false">IFERROR(INDEX(ZP_Netto,MATCH(BE$4,ZP_Monat,0))+INDEX(ZP_Vst,MATCH(BE$4,ZP_Monat,0)),0)</f>
        <v>0</v>
      </c>
      <c r="BF16" s="33" t="n">
        <f aca="false">IFERROR(INDEX(ZP_Netto,MATCH(BF$4,ZP_Monat,0))+INDEX(ZP_Vst,MATCH(BF$4,ZP_Monat,0)),0)</f>
        <v>0</v>
      </c>
      <c r="BG16" s="33" t="n">
        <f aca="false">IFERROR(INDEX(ZP_Netto,MATCH(BG$4,ZP_Monat,0))+INDEX(ZP_Vst,MATCH(BG$4,ZP_Monat,0)),0)</f>
        <v>0</v>
      </c>
      <c r="BH16" s="33" t="n">
        <f aca="false">IFERROR(INDEX(ZP_Netto,MATCH(BH$4,ZP_Monat,0))+INDEX(ZP_Vst,MATCH(BH$4,ZP_Monat,0)),0)</f>
        <v>0</v>
      </c>
      <c r="BI16" s="33" t="n">
        <f aca="false">IFERROR(INDEX(ZP_Netto,MATCH(BI$4,ZP_Monat,0))+INDEX(ZP_Vst,MATCH(BI$4,ZP_Monat,0)),0)</f>
        <v>0</v>
      </c>
      <c r="BJ16" s="33" t="n">
        <f aca="false">IFERROR(INDEX(ZP_Netto,MATCH(BJ$4,ZP_Monat,0))+INDEX(ZP_Vst,MATCH(BJ$4,ZP_Monat,0)),0)</f>
        <v>0</v>
      </c>
      <c r="BK16" s="33" t="n">
        <f aca="false">IFERROR(INDEX(ZP_Netto,MATCH(BK$4,ZP_Monat,0))+INDEX(ZP_Vst,MATCH(BK$4,ZP_Monat,0)),0)</f>
        <v>0</v>
      </c>
      <c r="BL16" s="33" t="n">
        <f aca="false">IFERROR(INDEX(ZP_Netto,MATCH(BL$4,ZP_Monat,0))+INDEX(ZP_Vst,MATCH(BL$4,ZP_Monat,0)),0)</f>
        <v>0</v>
      </c>
      <c r="BM16" s="33" t="n">
        <f aca="false">IFERROR(INDEX(ZP_Netto,MATCH(BM$4,ZP_Monat,0))+INDEX(ZP_Vst,MATCH(BM$4,ZP_Monat,0)),0)</f>
        <v>0</v>
      </c>
      <c r="BN16" s="33" t="n">
        <f aca="false">IFERROR(INDEX(ZP_Netto,MATCH(BN$4,ZP_Monat,0))+INDEX(ZP_Vst,MATCH(BN$4,ZP_Monat,0)),0)</f>
        <v>0</v>
      </c>
      <c r="BO16" s="33" t="n">
        <f aca="false">IFERROR(INDEX(ZP_Netto,MATCH(BO$4,ZP_Monat,0))+INDEX(ZP_Vst,MATCH(BO$4,ZP_Monat,0)),0)</f>
        <v>0</v>
      </c>
    </row>
    <row r="17" customFormat="false" ht="15" hidden="false" customHeight="false" outlineLevel="0" collapsed="false">
      <c r="B17" s="2" t="s">
        <v>439</v>
      </c>
      <c r="C17" s="25" t="n">
        <f aca="false">MAX(0,IF(UST_Verz=0,C24,0))</f>
        <v>0</v>
      </c>
      <c r="D17" s="25" t="n">
        <f aca="false">MAX(0,IF(UST_Verz=0,D24,C24))</f>
        <v>0</v>
      </c>
      <c r="E17" s="25" t="n">
        <f aca="false">MAX(0,IF(UST_Verz=0,E24,D24))</f>
        <v>0</v>
      </c>
      <c r="F17" s="25" t="n">
        <f aca="false">MAX(0,IF(UST_Verz=0,F24,E24))</f>
        <v>0</v>
      </c>
      <c r="G17" s="25" t="n">
        <f aca="false">MAX(0,IF(UST_Verz=0,G24,F24))</f>
        <v>0</v>
      </c>
      <c r="H17" s="25" t="n">
        <f aca="false">MAX(0,IF(UST_Verz=0,H24,G24))</f>
        <v>0</v>
      </c>
      <c r="I17" s="25" t="n">
        <f aca="false">MAX(0,IF(UST_Verz=0,I24,H24))</f>
        <v>0</v>
      </c>
      <c r="J17" s="25" t="n">
        <f aca="false">MAX(0,IF(UST_Verz=0,J24,I24))</f>
        <v>0</v>
      </c>
      <c r="K17" s="25" t="n">
        <f aca="false">MAX(0,IF(UST_Verz=0,K24,J24))</f>
        <v>0</v>
      </c>
      <c r="L17" s="25" t="n">
        <f aca="false">MAX(0,IF(UST_Verz=0,L24,K24))</f>
        <v>115.597709953746</v>
      </c>
      <c r="M17" s="25" t="n">
        <f aca="false">MAX(0,IF(UST_Verz=0,M24,L24))</f>
        <v>899.90913665129</v>
      </c>
      <c r="N17" s="25" t="n">
        <f aca="false">MAX(0,IF(UST_Verz=0,N24,M24))</f>
        <v>1666.96571196149</v>
      </c>
      <c r="O17" s="25" t="n">
        <f aca="false">MAX(0,IF(UST_Verz=0,O24,N24))</f>
        <v>2417.14704261486</v>
      </c>
      <c r="P17" s="25" t="n">
        <f aca="false">MAX(0,IF(UST_Verz=0,P24,O24))</f>
        <v>3150.82438399386</v>
      </c>
      <c r="Q17" s="25" t="n">
        <f aca="false">MAX(0,IF(UST_Verz=0,Q24,P24))</f>
        <v>3868.36082386252</v>
      </c>
      <c r="R17" s="25" t="n">
        <f aca="false">MAX(0,IF(UST_Verz=0,R24,Q24))</f>
        <v>4570.11146205408</v>
      </c>
      <c r="S17" s="25" t="n">
        <f aca="false">MAX(0,IF(UST_Verz=0,S24,R24))</f>
        <v>5256.42358620542</v>
      </c>
      <c r="T17" s="25" t="n">
        <f aca="false">MAX(0,IF(UST_Verz=0,T24,S24))</f>
        <v>5927.63684362542</v>
      </c>
      <c r="U17" s="25" t="n">
        <f aca="false">MAX(0,IF(UST_Verz=0,U24,T24))</f>
        <v>6418.17294736538</v>
      </c>
      <c r="V17" s="25" t="n">
        <f aca="false">MAX(0,IF(UST_Verz=0,V24,U24))</f>
        <v>6966.53850380155</v>
      </c>
      <c r="W17" s="25" t="n">
        <f aca="false">MAX(0,IF(UST_Verz=0,W24,V24))</f>
        <v>7502.84001799613</v>
      </c>
      <c r="X17" s="25" t="n">
        <f aca="false">MAX(0,IF(UST_Verz=0,X24,W24))</f>
        <v>8027.34289887842</v>
      </c>
      <c r="Y17" s="25" t="n">
        <f aca="false">MAX(0,IF(UST_Verz=0,Y24,X24))</f>
        <v>8540.3067163813</v>
      </c>
      <c r="Z17" s="25" t="n">
        <f aca="false">MAX(0,IF(UST_Verz=0,Z24,Y24))</f>
        <v>9041.98532989912</v>
      </c>
      <c r="AA17" s="25" t="n">
        <f aca="false">MAX(0,IF(UST_Verz=0,AA24,Z24))</f>
        <v>9532.62701391955</v>
      </c>
      <c r="AB17" s="25" t="n">
        <f aca="false">MAX(0,IF(UST_Verz=0,AB24,AA24))</f>
        <v>10012.4745808915</v>
      </c>
      <c r="AC17" s="25" t="n">
        <f aca="false">MAX(0,IF(UST_Verz=0,AC24,AB24))</f>
        <v>10481.7655013901</v>
      </c>
      <c r="AD17" s="25" t="n">
        <f aca="false">MAX(0,IF(UST_Verz=0,AD24,AC24))</f>
        <v>10940.7320216377</v>
      </c>
      <c r="AE17" s="25" t="n">
        <f aca="false">MAX(0,IF(UST_Verz=0,AE24,AD24))</f>
        <v>11389.6012784399</v>
      </c>
      <c r="AF17" s="25" t="n">
        <f aca="false">MAX(0,IF(UST_Verz=0,AF24,AE24))</f>
        <v>11828.5954115925</v>
      </c>
      <c r="AG17" s="25" t="n">
        <f aca="false">MAX(0,IF(UST_Verz=0,AG24,AF24))</f>
        <v>12422.254592642</v>
      </c>
      <c r="AH17" s="25" t="n">
        <f aca="false">MAX(0,IF(UST_Verz=0,AH24,AG24))</f>
        <v>12754.0244920304</v>
      </c>
      <c r="AI17" s="25" t="n">
        <f aca="false">MAX(0,IF(UST_Verz=0,AI24,AH24))</f>
        <v>13078.4954536322</v>
      </c>
      <c r="AJ17" s="25" t="n">
        <f aca="false">MAX(0,IF(UST_Verz=0,AJ24,AI24))</f>
        <v>13395.8280540789</v>
      </c>
      <c r="AK17" s="25" t="n">
        <f aca="false">MAX(0,IF(UST_Verz=0,AK24,AJ24))</f>
        <v>13612.9116648549</v>
      </c>
      <c r="AL17" s="25" t="n">
        <f aca="false">MAX(0,IF(UST_Verz=0,AL24,AK24))</f>
        <v>13673.0937168661</v>
      </c>
      <c r="AM17" s="25" t="n">
        <f aca="false">MAX(0,IF(UST_Verz=0,AM24,AL24))</f>
        <v>13673.0937168661</v>
      </c>
      <c r="AN17" s="25" t="n">
        <f aca="false">MAX(0,IF(UST_Verz=0,AN24,AM24))</f>
        <v>13673.0937168661</v>
      </c>
      <c r="AO17" s="25" t="n">
        <f aca="false">MAX(0,IF(UST_Verz=0,AO24,AN24))</f>
        <v>13673.0937168661</v>
      </c>
      <c r="AP17" s="25" t="n">
        <f aca="false">MAX(0,IF(UST_Verz=0,AP24,AO24))</f>
        <v>13673.0937168661</v>
      </c>
      <c r="AQ17" s="25" t="n">
        <f aca="false">MAX(0,IF(UST_Verz=0,AQ24,AP24))</f>
        <v>13673.0937168661</v>
      </c>
      <c r="AR17" s="25" t="n">
        <f aca="false">MAX(0,IF(UST_Verz=0,AR24,AQ24))</f>
        <v>13673.0937168661</v>
      </c>
      <c r="AS17" s="25" t="n">
        <f aca="false">MAX(0,IF(UST_Verz=0,AS24,AR24))</f>
        <v>13938.6887763855</v>
      </c>
      <c r="AT17" s="25" t="n">
        <f aca="false">MAX(0,IF(UST_Verz=0,AT24,AS24))</f>
        <v>13938.6887763855</v>
      </c>
      <c r="AU17" s="25" t="n">
        <f aca="false">MAX(0,IF(UST_Verz=0,AU24,AT24))</f>
        <v>13938.6887763855</v>
      </c>
      <c r="AV17" s="25" t="n">
        <f aca="false">MAX(0,IF(UST_Verz=0,AV24,AU24))</f>
        <v>13938.6887763855</v>
      </c>
      <c r="AW17" s="25" t="n">
        <f aca="false">MAX(0,IF(UST_Verz=0,AW24,AV24))</f>
        <v>13938.6887763855</v>
      </c>
      <c r="AX17" s="25" t="n">
        <f aca="false">MAX(0,IF(UST_Verz=0,AX24,AW24))</f>
        <v>13938.6887763855</v>
      </c>
      <c r="AY17" s="25" t="n">
        <f aca="false">MAX(0,IF(UST_Verz=0,AY24,AX24))</f>
        <v>13938.6887763855</v>
      </c>
      <c r="AZ17" s="25" t="n">
        <f aca="false">MAX(0,IF(UST_Verz=0,AZ24,AY24))</f>
        <v>13938.6887763855</v>
      </c>
      <c r="BA17" s="25" t="n">
        <f aca="false">MAX(0,IF(UST_Verz=0,BA24,AZ24))</f>
        <v>13938.6887763855</v>
      </c>
      <c r="BB17" s="25" t="n">
        <f aca="false">MAX(0,IF(UST_Verz=0,BB24,BA24))</f>
        <v>13938.6887763855</v>
      </c>
      <c r="BC17" s="25" t="n">
        <f aca="false">MAX(0,IF(UST_Verz=0,BC24,BB24))</f>
        <v>13938.6887763855</v>
      </c>
      <c r="BD17" s="25" t="n">
        <f aca="false">MAX(0,IF(UST_Verz=0,BD24,BC24))</f>
        <v>13938.6887763855</v>
      </c>
      <c r="BE17" s="25" t="n">
        <f aca="false">MAX(0,IF(UST_Verz=0,BE24,BD24))</f>
        <v>14237.5257370953</v>
      </c>
      <c r="BF17" s="25" t="n">
        <f aca="false">MAX(0,IF(UST_Verz=0,BF24,BE24))</f>
        <v>14237.5257370953</v>
      </c>
      <c r="BG17" s="25" t="n">
        <f aca="false">MAX(0,IF(UST_Verz=0,BG24,BF24))</f>
        <v>14237.5257370953</v>
      </c>
      <c r="BH17" s="25" t="n">
        <f aca="false">MAX(0,IF(UST_Verz=0,BH24,BG24))</f>
        <v>14237.5257370953</v>
      </c>
      <c r="BI17" s="25" t="n">
        <f aca="false">MAX(0,IF(UST_Verz=0,BI24,BH24))</f>
        <v>14237.5257370953</v>
      </c>
      <c r="BJ17" s="25" t="n">
        <f aca="false">MAX(0,IF(UST_Verz=0,BJ24,BI24))</f>
        <v>14237.5257370953</v>
      </c>
      <c r="BK17" s="25" t="n">
        <f aca="false">MAX(0,IF(UST_Verz=0,BK24,BJ24))</f>
        <v>14237.5257370953</v>
      </c>
      <c r="BL17" s="25" t="n">
        <f aca="false">MAX(0,IF(UST_Verz=0,BL24,BK24))</f>
        <v>14237.5257370953</v>
      </c>
      <c r="BM17" s="25" t="n">
        <f aca="false">MAX(0,IF(UST_Verz=0,BM24,BL24))</f>
        <v>14237.5257370953</v>
      </c>
      <c r="BN17" s="25" t="n">
        <f aca="false">MAX(0,IF(UST_Verz=0,BN24,BM24))</f>
        <v>14237.5257370953</v>
      </c>
      <c r="BO17" s="25" t="n">
        <f aca="false">MAX(0,IF(UST_Verz=0,BO24,BN24))</f>
        <v>14237.5257370953</v>
      </c>
    </row>
    <row r="18" customFormat="false" ht="15" hidden="false" customHeight="false" outlineLevel="0" collapsed="false">
      <c r="B18" s="2" t="s">
        <v>414</v>
      </c>
      <c r="C18" s="33" t="n">
        <f aca="false">Finanzierung!C61</f>
        <v>1458.33333333333</v>
      </c>
      <c r="D18" s="33" t="n">
        <f aca="false">Finanzierung!D61</f>
        <v>5125</v>
      </c>
      <c r="E18" s="33" t="n">
        <f aca="false">Finanzierung!E61</f>
        <v>13245.4426666667</v>
      </c>
      <c r="F18" s="33" t="n">
        <f aca="false">Finanzierung!F61</f>
        <v>13245.4426666667</v>
      </c>
      <c r="G18" s="33" t="n">
        <f aca="false">Finanzierung!G61</f>
        <v>13245.4426666667</v>
      </c>
      <c r="H18" s="33" t="n">
        <f aca="false">Finanzierung!H61</f>
        <v>13245.4426666667</v>
      </c>
      <c r="I18" s="33" t="n">
        <f aca="false">Finanzierung!I61</f>
        <v>13245.4426666667</v>
      </c>
      <c r="J18" s="33" t="n">
        <f aca="false">Finanzierung!J61</f>
        <v>13245.4426666667</v>
      </c>
      <c r="K18" s="33" t="n">
        <f aca="false">Finanzierung!K61</f>
        <v>13245.4426666667</v>
      </c>
      <c r="L18" s="33" t="n">
        <f aca="false">Finanzierung!L61</f>
        <v>13245.4426666667</v>
      </c>
      <c r="M18" s="33" t="n">
        <f aca="false">Finanzierung!M61</f>
        <v>13245.4426666667</v>
      </c>
      <c r="N18" s="33" t="n">
        <f aca="false">Finanzierung!N61</f>
        <v>13245.4426666667</v>
      </c>
      <c r="O18" s="33" t="n">
        <f aca="false">Finanzierung!O61</f>
        <v>13245.4426666667</v>
      </c>
      <c r="P18" s="33" t="n">
        <f aca="false">Finanzierung!P61</f>
        <v>13245.4426666667</v>
      </c>
      <c r="Q18" s="33" t="n">
        <f aca="false">Finanzierung!Q61</f>
        <v>13245.4426666667</v>
      </c>
      <c r="R18" s="33" t="n">
        <f aca="false">Finanzierung!R61</f>
        <v>13245.4426666667</v>
      </c>
      <c r="S18" s="33" t="n">
        <f aca="false">Finanzierung!S61</f>
        <v>13245.4426666667</v>
      </c>
      <c r="T18" s="33" t="n">
        <f aca="false">Finanzierung!T61</f>
        <v>13245.4426666667</v>
      </c>
      <c r="U18" s="33" t="n">
        <f aca="false">Finanzierung!U61</f>
        <v>13245.4426666667</v>
      </c>
      <c r="V18" s="33" t="n">
        <f aca="false">Finanzierung!V61</f>
        <v>13245.4426666667</v>
      </c>
      <c r="W18" s="33" t="n">
        <f aca="false">Finanzierung!W61</f>
        <v>13245.4426666667</v>
      </c>
      <c r="X18" s="33" t="n">
        <f aca="false">Finanzierung!X61</f>
        <v>13245.4426666667</v>
      </c>
      <c r="Y18" s="33" t="n">
        <f aca="false">Finanzierung!Y61</f>
        <v>13245.4426666667</v>
      </c>
      <c r="Z18" s="33" t="n">
        <f aca="false">Finanzierung!Z61</f>
        <v>13245.4426666667</v>
      </c>
      <c r="AA18" s="33" t="n">
        <f aca="false">Finanzierung!AA61</f>
        <v>13245.4426666667</v>
      </c>
      <c r="AB18" s="33" t="n">
        <f aca="false">Finanzierung!AB61</f>
        <v>13245.4426666667</v>
      </c>
      <c r="AC18" s="33" t="n">
        <f aca="false">Finanzierung!AC61</f>
        <v>13235.4600277778</v>
      </c>
      <c r="AD18" s="33" t="n">
        <f aca="false">Finanzierung!AD61</f>
        <v>13225.4773888889</v>
      </c>
      <c r="AE18" s="33" t="n">
        <f aca="false">Finanzierung!AE61</f>
        <v>13215.49475</v>
      </c>
      <c r="AF18" s="33" t="n">
        <f aca="false">Finanzierung!AF61</f>
        <v>13205.5121111111</v>
      </c>
      <c r="AG18" s="33" t="n">
        <f aca="false">Finanzierung!AG61</f>
        <v>13195.5294722222</v>
      </c>
      <c r="AH18" s="33" t="n">
        <f aca="false">Finanzierung!AH61</f>
        <v>13185.5468333333</v>
      </c>
      <c r="AI18" s="33" t="n">
        <f aca="false">Finanzierung!AI61</f>
        <v>13175.5641944444</v>
      </c>
      <c r="AJ18" s="33" t="n">
        <f aca="false">Finanzierung!AJ61</f>
        <v>13165.5815555556</v>
      </c>
      <c r="AK18" s="33" t="n">
        <f aca="false">Finanzierung!AK61</f>
        <v>13155.5989166667</v>
      </c>
      <c r="AL18" s="33" t="n">
        <f aca="false">Finanzierung!AL61</f>
        <v>13145.6162777778</v>
      </c>
      <c r="AM18" s="33" t="n">
        <f aca="false">Finanzierung!AM61</f>
        <v>13135.6336388889</v>
      </c>
      <c r="AN18" s="33" t="n">
        <f aca="false">Finanzierung!AN61</f>
        <v>13125.651</v>
      </c>
      <c r="AO18" s="33" t="n">
        <f aca="false">Finanzierung!AO61</f>
        <v>13115.6683611111</v>
      </c>
      <c r="AP18" s="33" t="n">
        <f aca="false">Finanzierung!AP61</f>
        <v>13065.879630719</v>
      </c>
      <c r="AQ18" s="33" t="n">
        <f aca="false">Finanzierung!AQ61</f>
        <v>13016.0909003268</v>
      </c>
      <c r="AR18" s="33" t="n">
        <f aca="false">Finanzierung!AR61</f>
        <v>12966.3021699346</v>
      </c>
      <c r="AS18" s="33" t="n">
        <f aca="false">Finanzierung!AS61</f>
        <v>12916.5134395425</v>
      </c>
      <c r="AT18" s="33" t="n">
        <f aca="false">Finanzierung!AT61</f>
        <v>12866.7247091503</v>
      </c>
      <c r="AU18" s="33" t="n">
        <f aca="false">Finanzierung!AU61</f>
        <v>12816.9359787582</v>
      </c>
      <c r="AV18" s="33" t="n">
        <f aca="false">Finanzierung!AV61</f>
        <v>12767.147248366</v>
      </c>
      <c r="AW18" s="33" t="n">
        <f aca="false">Finanzierung!AW61</f>
        <v>12717.3585179739</v>
      </c>
      <c r="AX18" s="33" t="n">
        <f aca="false">Finanzierung!AX61</f>
        <v>12667.5697875817</v>
      </c>
      <c r="AY18" s="33" t="n">
        <f aca="false">Finanzierung!AY61</f>
        <v>12617.7810571895</v>
      </c>
      <c r="AZ18" s="33" t="n">
        <f aca="false">Finanzierung!AZ61</f>
        <v>12567.9923267974</v>
      </c>
      <c r="BA18" s="33" t="n">
        <f aca="false">Finanzierung!BA61</f>
        <v>12518.2035964052</v>
      </c>
      <c r="BB18" s="33" t="n">
        <f aca="false">Finanzierung!BB61</f>
        <v>12468.4148660131</v>
      </c>
      <c r="BC18" s="33" t="n">
        <f aca="false">Finanzierung!BC61</f>
        <v>12418.6261356209</v>
      </c>
      <c r="BD18" s="33" t="n">
        <f aca="false">Finanzierung!BD61</f>
        <v>12368.8374052288</v>
      </c>
      <c r="BE18" s="33" t="n">
        <f aca="false">Finanzierung!BE61</f>
        <v>12319.0486748366</v>
      </c>
      <c r="BF18" s="33" t="n">
        <f aca="false">Finanzierung!BF61</f>
        <v>12269.2599444445</v>
      </c>
      <c r="BG18" s="33" t="n">
        <f aca="false">Finanzierung!BG61</f>
        <v>12219.4712140523</v>
      </c>
      <c r="BH18" s="33" t="n">
        <f aca="false">Finanzierung!BH61</f>
        <v>12169.6824836601</v>
      </c>
      <c r="BI18" s="33" t="n">
        <f aca="false">Finanzierung!BI61</f>
        <v>12119.893753268</v>
      </c>
      <c r="BJ18" s="33" t="n">
        <f aca="false">Finanzierung!BJ61</f>
        <v>12070.1050228758</v>
      </c>
      <c r="BK18" s="33" t="n">
        <f aca="false">Finanzierung!BK61</f>
        <v>12020.3162924837</v>
      </c>
      <c r="BL18" s="33" t="n">
        <f aca="false">Finanzierung!BL61</f>
        <v>11970.5275620915</v>
      </c>
      <c r="BM18" s="33" t="n">
        <f aca="false">Finanzierung!BM61</f>
        <v>11898.1693872549</v>
      </c>
      <c r="BN18" s="33" t="n">
        <f aca="false">Finanzierung!BN61</f>
        <v>11825.8112124183</v>
      </c>
      <c r="BO18" s="33" t="n">
        <f aca="false">Finanzierung!BO61</f>
        <v>11753.4530375817</v>
      </c>
    </row>
    <row r="19" customFormat="false" ht="15" hidden="false" customHeight="false" outlineLevel="0" collapsed="false">
      <c r="B19" s="2" t="s">
        <v>415</v>
      </c>
      <c r="C19" s="33" t="n">
        <f aca="false">Finanzierung!C62</f>
        <v>0</v>
      </c>
      <c r="D19" s="33" t="n">
        <f aca="false">Finanzierung!D62</f>
        <v>0</v>
      </c>
      <c r="E19" s="33" t="n">
        <f aca="false">Finanzierung!E62</f>
        <v>0</v>
      </c>
      <c r="F19" s="33" t="n">
        <f aca="false">Finanzierung!F62</f>
        <v>0</v>
      </c>
      <c r="G19" s="33" t="n">
        <f aca="false">Finanzierung!G62</f>
        <v>0</v>
      </c>
      <c r="H19" s="33" t="n">
        <f aca="false">Finanzierung!H62</f>
        <v>0</v>
      </c>
      <c r="I19" s="33" t="n">
        <f aca="false">Finanzierung!I62</f>
        <v>0</v>
      </c>
      <c r="J19" s="33" t="n">
        <f aca="false">Finanzierung!J62</f>
        <v>0</v>
      </c>
      <c r="K19" s="33" t="n">
        <f aca="false">Finanzierung!K62</f>
        <v>0</v>
      </c>
      <c r="L19" s="33" t="n">
        <f aca="false">Finanzierung!L62</f>
        <v>0</v>
      </c>
      <c r="M19" s="33" t="n">
        <f aca="false">Finanzierung!M62</f>
        <v>0</v>
      </c>
      <c r="N19" s="33" t="n">
        <f aca="false">Finanzierung!N62</f>
        <v>0</v>
      </c>
      <c r="O19" s="33" t="n">
        <f aca="false">Finanzierung!O62</f>
        <v>0</v>
      </c>
      <c r="P19" s="33" t="n">
        <f aca="false">Finanzierung!P62</f>
        <v>0</v>
      </c>
      <c r="Q19" s="33" t="n">
        <f aca="false">Finanzierung!Q62</f>
        <v>0</v>
      </c>
      <c r="R19" s="33" t="n">
        <f aca="false">Finanzierung!R62</f>
        <v>0</v>
      </c>
      <c r="S19" s="33" t="n">
        <f aca="false">Finanzierung!S62</f>
        <v>0</v>
      </c>
      <c r="T19" s="33" t="n">
        <f aca="false">Finanzierung!T62</f>
        <v>0</v>
      </c>
      <c r="U19" s="33" t="n">
        <f aca="false">Finanzierung!U62</f>
        <v>0</v>
      </c>
      <c r="V19" s="33" t="n">
        <f aca="false">Finanzierung!V62</f>
        <v>0</v>
      </c>
      <c r="W19" s="33" t="n">
        <f aca="false">Finanzierung!W62</f>
        <v>0</v>
      </c>
      <c r="X19" s="33" t="n">
        <f aca="false">Finanzierung!X62</f>
        <v>0</v>
      </c>
      <c r="Y19" s="33" t="n">
        <f aca="false">Finanzierung!Y62</f>
        <v>0</v>
      </c>
      <c r="Z19" s="33" t="n">
        <f aca="false">Finanzierung!Z62</f>
        <v>0</v>
      </c>
      <c r="AA19" s="33" t="n">
        <f aca="false">Finanzierung!AA62</f>
        <v>0</v>
      </c>
      <c r="AB19" s="33" t="n">
        <f aca="false">Finanzierung!AB62</f>
        <v>2083.33333333333</v>
      </c>
      <c r="AC19" s="33" t="n">
        <f aca="false">Finanzierung!AC62</f>
        <v>2083.33333333333</v>
      </c>
      <c r="AD19" s="33" t="n">
        <f aca="false">Finanzierung!AD62</f>
        <v>2083.33333333333</v>
      </c>
      <c r="AE19" s="33" t="n">
        <f aca="false">Finanzierung!AE62</f>
        <v>2083.33333333333</v>
      </c>
      <c r="AF19" s="33" t="n">
        <f aca="false">Finanzierung!AF62</f>
        <v>2083.33333333333</v>
      </c>
      <c r="AG19" s="33" t="n">
        <f aca="false">Finanzierung!AG62</f>
        <v>2083.33333333333</v>
      </c>
      <c r="AH19" s="33" t="n">
        <f aca="false">Finanzierung!AH62</f>
        <v>2083.33333333333</v>
      </c>
      <c r="AI19" s="33" t="n">
        <f aca="false">Finanzierung!AI62</f>
        <v>2083.33333333333</v>
      </c>
      <c r="AJ19" s="33" t="n">
        <f aca="false">Finanzierung!AJ62</f>
        <v>2083.33333333333</v>
      </c>
      <c r="AK19" s="33" t="n">
        <f aca="false">Finanzierung!AK62</f>
        <v>2083.33333333333</v>
      </c>
      <c r="AL19" s="33" t="n">
        <f aca="false">Finanzierung!AL62</f>
        <v>2083.33333333333</v>
      </c>
      <c r="AM19" s="33" t="n">
        <f aca="false">Finanzierung!AM62</f>
        <v>2083.33333333333</v>
      </c>
      <c r="AN19" s="33" t="n">
        <f aca="false">Finanzierung!AN62</f>
        <v>2083.33333333333</v>
      </c>
      <c r="AO19" s="33" t="n">
        <f aca="false">Finanzierung!AO62</f>
        <v>9546.97549019608</v>
      </c>
      <c r="AP19" s="33" t="n">
        <f aca="false">Finanzierung!AP62</f>
        <v>9546.97549019608</v>
      </c>
      <c r="AQ19" s="33" t="n">
        <f aca="false">Finanzierung!AQ62</f>
        <v>9546.97549019608</v>
      </c>
      <c r="AR19" s="33" t="n">
        <f aca="false">Finanzierung!AR62</f>
        <v>9546.97549019608</v>
      </c>
      <c r="AS19" s="33" t="n">
        <f aca="false">Finanzierung!AS62</f>
        <v>9546.97549019608</v>
      </c>
      <c r="AT19" s="33" t="n">
        <f aca="false">Finanzierung!AT62</f>
        <v>9546.97549019608</v>
      </c>
      <c r="AU19" s="33" t="n">
        <f aca="false">Finanzierung!AU62</f>
        <v>9546.97549019608</v>
      </c>
      <c r="AV19" s="33" t="n">
        <f aca="false">Finanzierung!AV62</f>
        <v>9546.97549019608</v>
      </c>
      <c r="AW19" s="33" t="n">
        <f aca="false">Finanzierung!AW62</f>
        <v>9546.97549019608</v>
      </c>
      <c r="AX19" s="33" t="n">
        <f aca="false">Finanzierung!AX62</f>
        <v>9546.97549019608</v>
      </c>
      <c r="AY19" s="33" t="n">
        <f aca="false">Finanzierung!AY62</f>
        <v>9546.97549019608</v>
      </c>
      <c r="AZ19" s="33" t="n">
        <f aca="false">Finanzierung!AZ62</f>
        <v>9546.97549019608</v>
      </c>
      <c r="BA19" s="33" t="n">
        <f aca="false">Finanzierung!BA62</f>
        <v>9546.97549019608</v>
      </c>
      <c r="BB19" s="33" t="n">
        <f aca="false">Finanzierung!BB62</f>
        <v>9546.97549019608</v>
      </c>
      <c r="BC19" s="33" t="n">
        <f aca="false">Finanzierung!BC62</f>
        <v>9546.97549019608</v>
      </c>
      <c r="BD19" s="33" t="n">
        <f aca="false">Finanzierung!BD62</f>
        <v>9546.97549019608</v>
      </c>
      <c r="BE19" s="33" t="n">
        <f aca="false">Finanzierung!BE62</f>
        <v>9546.97549019608</v>
      </c>
      <c r="BF19" s="33" t="n">
        <f aca="false">Finanzierung!BF62</f>
        <v>9546.97549019608</v>
      </c>
      <c r="BG19" s="33" t="n">
        <f aca="false">Finanzierung!BG62</f>
        <v>9546.97549019608</v>
      </c>
      <c r="BH19" s="33" t="n">
        <f aca="false">Finanzierung!BH62</f>
        <v>9546.97549019608</v>
      </c>
      <c r="BI19" s="33" t="n">
        <f aca="false">Finanzierung!BI62</f>
        <v>9546.97549019608</v>
      </c>
      <c r="BJ19" s="33" t="n">
        <f aca="false">Finanzierung!BJ62</f>
        <v>9546.97549019608</v>
      </c>
      <c r="BK19" s="33" t="n">
        <f aca="false">Finanzierung!BK62</f>
        <v>9546.97549019608</v>
      </c>
      <c r="BL19" s="33" t="n">
        <f aca="false">Finanzierung!BL62</f>
        <v>13713.6421568627</v>
      </c>
      <c r="BM19" s="33" t="n">
        <f aca="false">Finanzierung!BM62</f>
        <v>13713.6421568627</v>
      </c>
      <c r="BN19" s="33" t="n">
        <f aca="false">Finanzierung!BN62</f>
        <v>13713.6421568627</v>
      </c>
      <c r="BO19" s="33" t="n">
        <f aca="false">Finanzierung!BO62</f>
        <v>13713.6421568627</v>
      </c>
    </row>
    <row r="20" customFormat="false" ht="15" hidden="false" customHeight="false" outlineLevel="0" collapsed="false">
      <c r="B20" s="2" t="s">
        <v>440</v>
      </c>
      <c r="C20" s="33" t="n">
        <f aca="false">IF(AND(C$4&gt;=18,MOD(C$4,12)=6),INDEX(GuV_Steuern,(C$4-6)/12),0)</f>
        <v>0</v>
      </c>
      <c r="D20" s="33" t="n">
        <f aca="false">IF(AND(D$4&gt;=18,MOD(D$4,12)=6),INDEX(GuV_Steuern,(D$4-6)/12),0)</f>
        <v>0</v>
      </c>
      <c r="E20" s="33" t="n">
        <f aca="false">IF(AND(E$4&gt;=18,MOD(E$4,12)=6),INDEX(GuV_Steuern,(E$4-6)/12),0)</f>
        <v>0</v>
      </c>
      <c r="F20" s="33" t="n">
        <f aca="false">IF(AND(F$4&gt;=18,MOD(F$4,12)=6),INDEX(GuV_Steuern,(F$4-6)/12),0)</f>
        <v>0</v>
      </c>
      <c r="G20" s="33" t="n">
        <f aca="false">IF(AND(G$4&gt;=18,MOD(G$4,12)=6),INDEX(GuV_Steuern,(G$4-6)/12),0)</f>
        <v>0</v>
      </c>
      <c r="H20" s="33" t="n">
        <f aca="false">IF(AND(H$4&gt;=18,MOD(H$4,12)=6),INDEX(GuV_Steuern,(H$4-6)/12),0)</f>
        <v>0</v>
      </c>
      <c r="I20" s="33" t="n">
        <f aca="false">IF(AND(I$4&gt;=18,MOD(I$4,12)=6),INDEX(GuV_Steuern,(I$4-6)/12),0)</f>
        <v>0</v>
      </c>
      <c r="J20" s="33" t="n">
        <f aca="false">IF(AND(J$4&gt;=18,MOD(J$4,12)=6),INDEX(GuV_Steuern,(J$4-6)/12),0)</f>
        <v>0</v>
      </c>
      <c r="K20" s="33" t="n">
        <f aca="false">IF(AND(K$4&gt;=18,MOD(K$4,12)=6),INDEX(GuV_Steuern,(K$4-6)/12),0)</f>
        <v>0</v>
      </c>
      <c r="L20" s="33" t="n">
        <f aca="false">IF(AND(L$4&gt;=18,MOD(L$4,12)=6),INDEX(GuV_Steuern,(L$4-6)/12),0)</f>
        <v>0</v>
      </c>
      <c r="M20" s="33" t="n">
        <f aca="false">IF(AND(M$4&gt;=18,MOD(M$4,12)=6),INDEX(GuV_Steuern,(M$4-6)/12),0)</f>
        <v>0</v>
      </c>
      <c r="N20" s="33" t="n">
        <f aca="false">IF(AND(N$4&gt;=18,MOD(N$4,12)=6),INDEX(GuV_Steuern,(N$4-6)/12),0)</f>
        <v>0</v>
      </c>
      <c r="O20" s="33" t="n">
        <f aca="false">IF(AND(O$4&gt;=18,MOD(O$4,12)=6),INDEX(GuV_Steuern,(O$4-6)/12),0)</f>
        <v>0</v>
      </c>
      <c r="P20" s="33" t="n">
        <f aca="false">IF(AND(P$4&gt;=18,MOD(P$4,12)=6),INDEX(GuV_Steuern,(P$4-6)/12),0)</f>
        <v>0</v>
      </c>
      <c r="Q20" s="33" t="n">
        <f aca="false">IF(AND(Q$4&gt;=18,MOD(Q$4,12)=6),INDEX(GuV_Steuern,(Q$4-6)/12),0)</f>
        <v>0</v>
      </c>
      <c r="R20" s="33" t="n">
        <f aca="false">IF(AND(R$4&gt;=18,MOD(R$4,12)=6),INDEX(GuV_Steuern,(R$4-6)/12),0)</f>
        <v>0</v>
      </c>
      <c r="S20" s="33" t="n">
        <f aca="false">IF(AND(S$4&gt;=18,MOD(S$4,12)=6),INDEX(GuV_Steuern,(S$4-6)/12),0)</f>
        <v>0</v>
      </c>
      <c r="T20" s="33" t="n">
        <f aca="false">IF(AND(T$4&gt;=18,MOD(T$4,12)=6),INDEX(GuV_Steuern,(T$4-6)/12),0)</f>
        <v>0</v>
      </c>
      <c r="U20" s="33" t="n">
        <f aca="false">IF(AND(U$4&gt;=18,MOD(U$4,12)=6),INDEX(GuV_Steuern,(U$4-6)/12),0)</f>
        <v>0</v>
      </c>
      <c r="V20" s="33" t="n">
        <f aca="false">IF(AND(V$4&gt;=18,MOD(V$4,12)=6),INDEX(GuV_Steuern,(V$4-6)/12),0)</f>
        <v>0</v>
      </c>
      <c r="W20" s="33" t="n">
        <f aca="false">IF(AND(W$4&gt;=18,MOD(W$4,12)=6),INDEX(GuV_Steuern,(W$4-6)/12),0)</f>
        <v>0</v>
      </c>
      <c r="X20" s="33" t="n">
        <f aca="false">IF(AND(X$4&gt;=18,MOD(X$4,12)=6),INDEX(GuV_Steuern,(X$4-6)/12),0)</f>
        <v>0</v>
      </c>
      <c r="Y20" s="33" t="n">
        <f aca="false">IF(AND(Y$4&gt;=18,MOD(Y$4,12)=6),INDEX(GuV_Steuern,(Y$4-6)/12),0)</f>
        <v>0</v>
      </c>
      <c r="Z20" s="33" t="n">
        <f aca="false">IF(AND(Z$4&gt;=18,MOD(Z$4,12)=6),INDEX(GuV_Steuern,(Z$4-6)/12),0)</f>
        <v>0</v>
      </c>
      <c r="AA20" s="33" t="n">
        <f aca="false">IF(AND(AA$4&gt;=18,MOD(AA$4,12)=6),INDEX(GuV_Steuern,(AA$4-6)/12),0)</f>
        <v>0</v>
      </c>
      <c r="AB20" s="33" t="n">
        <f aca="false">IF(AND(AB$4&gt;=18,MOD(AB$4,12)=6),INDEX(GuV_Steuern,(AB$4-6)/12),0)</f>
        <v>0</v>
      </c>
      <c r="AC20" s="33" t="n">
        <f aca="false">IF(AND(AC$4&gt;=18,MOD(AC$4,12)=6),INDEX(GuV_Steuern,(AC$4-6)/12),0)</f>
        <v>0</v>
      </c>
      <c r="AD20" s="33" t="n">
        <f aca="false">IF(AND(AD$4&gt;=18,MOD(AD$4,12)=6),INDEX(GuV_Steuern,(AD$4-6)/12),0)</f>
        <v>0</v>
      </c>
      <c r="AE20" s="33" t="n">
        <f aca="false">IF(AND(AE$4&gt;=18,MOD(AE$4,12)=6),INDEX(GuV_Steuern,(AE$4-6)/12),0)</f>
        <v>0</v>
      </c>
      <c r="AF20" s="33" t="n">
        <f aca="false">IF(AND(AF$4&gt;=18,MOD(AF$4,12)=6),INDEX(GuV_Steuern,(AF$4-6)/12),0)</f>
        <v>0</v>
      </c>
      <c r="AG20" s="33" t="n">
        <f aca="false">IF(AND(AG$4&gt;=18,MOD(AG$4,12)=6),INDEX(GuV_Steuern,(AG$4-6)/12),0)</f>
        <v>0</v>
      </c>
      <c r="AH20" s="33" t="n">
        <f aca="false">IF(AND(AH$4&gt;=18,MOD(AH$4,12)=6),INDEX(GuV_Steuern,(AH$4-6)/12),0)</f>
        <v>0</v>
      </c>
      <c r="AI20" s="33" t="n">
        <f aca="false">IF(AND(AI$4&gt;=18,MOD(AI$4,12)=6),INDEX(GuV_Steuern,(AI$4-6)/12),0)</f>
        <v>0</v>
      </c>
      <c r="AJ20" s="33" t="n">
        <f aca="false">IF(AND(AJ$4&gt;=18,MOD(AJ$4,12)=6),INDEX(GuV_Steuern,(AJ$4-6)/12),0)</f>
        <v>0</v>
      </c>
      <c r="AK20" s="33" t="n">
        <f aca="false">IF(AND(AK$4&gt;=18,MOD(AK$4,12)=6),INDEX(GuV_Steuern,(AK$4-6)/12),0)</f>
        <v>0</v>
      </c>
      <c r="AL20" s="33" t="n">
        <f aca="false">IF(AND(AL$4&gt;=18,MOD(AL$4,12)=6),INDEX(GuV_Steuern,(AL$4-6)/12),0)</f>
        <v>0</v>
      </c>
      <c r="AM20" s="33" t="n">
        <f aca="false">IF(AND(AM$4&gt;=18,MOD(AM$4,12)=6),INDEX(GuV_Steuern,(AM$4-6)/12),0)</f>
        <v>0</v>
      </c>
      <c r="AN20" s="33" t="n">
        <f aca="false">IF(AND(AN$4&gt;=18,MOD(AN$4,12)=6),INDEX(GuV_Steuern,(AN$4-6)/12),0)</f>
        <v>0</v>
      </c>
      <c r="AO20" s="33" t="n">
        <f aca="false">IF(AND(AO$4&gt;=18,MOD(AO$4,12)=6),INDEX(GuV_Steuern,(AO$4-6)/12),0)</f>
        <v>0</v>
      </c>
      <c r="AP20" s="33" t="n">
        <f aca="false">IF(AND(AP$4&gt;=18,MOD(AP$4,12)=6),INDEX(GuV_Steuern,(AP$4-6)/12),0)</f>
        <v>0</v>
      </c>
      <c r="AQ20" s="33" t="n">
        <f aca="false">IF(AND(AQ$4&gt;=18,MOD(AQ$4,12)=6),INDEX(GuV_Steuern,(AQ$4-6)/12),0)</f>
        <v>0</v>
      </c>
      <c r="AR20" s="33" t="n">
        <f aca="false">IF(AND(AR$4&gt;=18,MOD(AR$4,12)=6),INDEX(GuV_Steuern,(AR$4-6)/12),0)</f>
        <v>0</v>
      </c>
      <c r="AS20" s="33" t="n">
        <f aca="false">IF(AND(AS$4&gt;=18,MOD(AS$4,12)=6),INDEX(GuV_Steuern,(AS$4-6)/12),0)</f>
        <v>0</v>
      </c>
      <c r="AT20" s="33" t="n">
        <f aca="false">IF(AND(AT$4&gt;=18,MOD(AT$4,12)=6),INDEX(GuV_Steuern,(AT$4-6)/12),0)</f>
        <v>0</v>
      </c>
      <c r="AU20" s="33" t="n">
        <f aca="false">IF(AND(AU$4&gt;=18,MOD(AU$4,12)=6),INDEX(GuV_Steuern,(AU$4-6)/12),0)</f>
        <v>0</v>
      </c>
      <c r="AV20" s="33" t="n">
        <f aca="false">IF(AND(AV$4&gt;=18,MOD(AV$4,12)=6),INDEX(GuV_Steuern,(AV$4-6)/12),0)</f>
        <v>0</v>
      </c>
      <c r="AW20" s="33" t="n">
        <f aca="false">IF(AND(AW$4&gt;=18,MOD(AW$4,12)=6),INDEX(GuV_Steuern,(AW$4-6)/12),0)</f>
        <v>0</v>
      </c>
      <c r="AX20" s="33" t="n">
        <f aca="false">IF(AND(AX$4&gt;=18,MOD(AX$4,12)=6),INDEX(GuV_Steuern,(AX$4-6)/12),0)</f>
        <v>0</v>
      </c>
      <c r="AY20" s="33" t="n">
        <f aca="false">IF(AND(AY$4&gt;=18,MOD(AY$4,12)=6),INDEX(GuV_Steuern,(AY$4-6)/12),0)</f>
        <v>0</v>
      </c>
      <c r="AZ20" s="33" t="n">
        <f aca="false">IF(AND(AZ$4&gt;=18,MOD(AZ$4,12)=6),INDEX(GuV_Steuern,(AZ$4-6)/12),0)</f>
        <v>0</v>
      </c>
      <c r="BA20" s="33" t="n">
        <f aca="false">IF(AND(BA$4&gt;=18,MOD(BA$4,12)=6),INDEX(GuV_Steuern,(BA$4-6)/12),0)</f>
        <v>0</v>
      </c>
      <c r="BB20" s="33" t="n">
        <f aca="false">IF(AND(BB$4&gt;=18,MOD(BB$4,12)=6),INDEX(GuV_Steuern,(BB$4-6)/12),0)</f>
        <v>0</v>
      </c>
      <c r="BC20" s="33" t="n">
        <f aca="false">IF(AND(BC$4&gt;=18,MOD(BC$4,12)=6),INDEX(GuV_Steuern,(BC$4-6)/12),0)</f>
        <v>0</v>
      </c>
      <c r="BD20" s="33" t="n">
        <f aca="false">IF(AND(BD$4&gt;=18,MOD(BD$4,12)=6),INDEX(GuV_Steuern,(BD$4-6)/12),0)</f>
        <v>0</v>
      </c>
      <c r="BE20" s="33" t="n">
        <f aca="false">IF(AND(BE$4&gt;=18,MOD(BE$4,12)=6),INDEX(GuV_Steuern,(BE$4-6)/12),0)</f>
        <v>0</v>
      </c>
      <c r="BF20" s="33" t="n">
        <f aca="false">IF(AND(BF$4&gt;=18,MOD(BF$4,12)=6),INDEX(GuV_Steuern,(BF$4-6)/12),0)</f>
        <v>0</v>
      </c>
      <c r="BG20" s="33" t="n">
        <f aca="false">IF(AND(BG$4&gt;=18,MOD(BG$4,12)=6),INDEX(GuV_Steuern,(BG$4-6)/12),0)</f>
        <v>0</v>
      </c>
      <c r="BH20" s="33" t="n">
        <f aca="false">IF(AND(BH$4&gt;=18,MOD(BH$4,12)=6),INDEX(GuV_Steuern,(BH$4-6)/12),0)</f>
        <v>0</v>
      </c>
      <c r="BI20" s="33" t="n">
        <f aca="false">IF(AND(BI$4&gt;=18,MOD(BI$4,12)=6),INDEX(GuV_Steuern,(BI$4-6)/12),0)</f>
        <v>0</v>
      </c>
      <c r="BJ20" s="33" t="n">
        <f aca="false">IF(AND(BJ$4&gt;=18,MOD(BJ$4,12)=6),INDEX(GuV_Steuern,(BJ$4-6)/12),0)</f>
        <v>0</v>
      </c>
      <c r="BK20" s="33" t="n">
        <f aca="false">IF(AND(BK$4&gt;=18,MOD(BK$4,12)=6),INDEX(GuV_Steuern,(BK$4-6)/12),0)</f>
        <v>0</v>
      </c>
      <c r="BL20" s="33" t="n">
        <f aca="false">IF(AND(BL$4&gt;=18,MOD(BL$4,12)=6),INDEX(GuV_Steuern,(BL$4-6)/12),0)</f>
        <v>0</v>
      </c>
      <c r="BM20" s="33" t="n">
        <f aca="false">IF(AND(BM$4&gt;=18,MOD(BM$4,12)=6),INDEX(GuV_Steuern,(BM$4-6)/12),0)</f>
        <v>0</v>
      </c>
      <c r="BN20" s="33" t="n">
        <f aca="false">IF(AND(BN$4&gt;=18,MOD(BN$4,12)=6),INDEX(GuV_Steuern,(BN$4-6)/12),0)</f>
        <v>0</v>
      </c>
      <c r="BO20" s="33" t="n">
        <f aca="false">IF(AND(BO$4&gt;=18,MOD(BO$4,12)=6),INDEX(GuV_Steuern,(BO$4-6)/12),0)</f>
        <v>0</v>
      </c>
    </row>
    <row r="21" customFormat="false" ht="15" hidden="false" customHeight="false" outlineLevel="0" collapsed="false">
      <c r="B21" s="8" t="s">
        <v>418</v>
      </c>
      <c r="C21" s="35" t="n">
        <f aca="false">C15+C16+C17+C18+C19+C20</f>
        <v>121777.191333333</v>
      </c>
      <c r="D21" s="35" t="n">
        <f aca="false">D15+D16+D17+D18+D19+D20</f>
        <v>346226.243</v>
      </c>
      <c r="E21" s="35" t="n">
        <f aca="false">E15+E16+E17+E18+E19+E20</f>
        <v>372475.519</v>
      </c>
      <c r="F21" s="35" t="n">
        <f aca="false">F15+F16+F17+F18+F19+F20</f>
        <v>439604.942</v>
      </c>
      <c r="G21" s="35" t="n">
        <f aca="false">G15+G16+G17+G18+G19+G20</f>
        <v>1144282.862</v>
      </c>
      <c r="H21" s="35" t="n">
        <f aca="false">H15+H16+H17+H18+H19+H20</f>
        <v>99503.65406</v>
      </c>
      <c r="I21" s="35" t="n">
        <f aca="false">I15+I16+I17+I18+I19+I20</f>
        <v>99717.50663768</v>
      </c>
      <c r="J21" s="35" t="n">
        <f aca="false">J15+J16+J17+J18+J19+J20</f>
        <v>99926.654458651</v>
      </c>
      <c r="K21" s="35" t="n">
        <f aca="false">K15+K16+K17+K18+K19+K20</f>
        <v>92947.5370275607</v>
      </c>
      <c r="L21" s="35" t="n">
        <f aca="false">L15+L16+L17+L18+L19+L20</f>
        <v>93198.5244179081</v>
      </c>
      <c r="M21" s="35" t="n">
        <f aca="false">M15+M16+M17+M18+M19+M20</f>
        <v>94115.2469520307</v>
      </c>
      <c r="N21" s="35" t="n">
        <f aca="false">N15+N16+N17+N18+N19+N20</f>
        <v>95011.8015904025</v>
      </c>
      <c r="O21" s="35" t="n">
        <f aca="false">O15+O16+O17+O18+O19+O20</f>
        <v>95888.6320267302</v>
      </c>
      <c r="P21" s="35" t="n">
        <f aca="false">P15+P16+P17+P18+P19+P20</f>
        <v>96746.1721934587</v>
      </c>
      <c r="Q21" s="35" t="n">
        <f aca="false">Q15+Q16+Q17+Q18+Q19+Q20</f>
        <v>97584.8464765191</v>
      </c>
      <c r="R21" s="35" t="n">
        <f aca="false">R15+R16+R17+R18+R19+R20</f>
        <v>98405.0699253522</v>
      </c>
      <c r="S21" s="35" t="n">
        <f aca="false">S15+S16+S17+S18+S19+S20</f>
        <v>99207.248458311</v>
      </c>
      <c r="T21" s="35" t="n">
        <f aca="false">T15+T16+T17+T18+T19+T20</f>
        <v>104823.787083545</v>
      </c>
      <c r="U21" s="35" t="n">
        <f aca="false">U15+U16+U17+U18+U19+U20</f>
        <v>105408.983337446</v>
      </c>
      <c r="V21" s="35" t="n">
        <f aca="false">V15+V16+V17+V18+V19+V20</f>
        <v>106049.926520741</v>
      </c>
      <c r="W21" s="35" t="n">
        <f aca="false">W15+W16+W17+W18+W19+W20</f>
        <v>106676.768954003</v>
      </c>
      <c r="X21" s="35" t="n">
        <f aca="false">X15+X16+X17+X18+X19+X20</f>
        <v>107289.820853733</v>
      </c>
      <c r="Y21" s="35" t="n">
        <f aca="false">Y15+Y16+Y17+Y18+Y19+Y20</f>
        <v>107889.385611669</v>
      </c>
      <c r="Z21" s="35" t="n">
        <f aca="false">Z15+Z16+Z17+Z18+Z19+Z20</f>
        <v>108475.75994493</v>
      </c>
      <c r="AA21" s="35" t="n">
        <f aca="false">AA15+AA16+AA17+AA18+AA19+AA20</f>
        <v>109049.23404286</v>
      </c>
      <c r="AB21" s="35" t="n">
        <f aca="false">AB15+AB16+AB17+AB18+AB19+AB20</f>
        <v>111693.425043969</v>
      </c>
      <c r="AC21" s="35" t="n">
        <f aca="false">AC15+AC16+AC17+AC18+AC19+AC20</f>
        <v>112231.961204164</v>
      </c>
      <c r="AD21" s="35" t="n">
        <f aca="false">AD15+AD16+AD17+AD18+AD19+AD20</f>
        <v>112758.42995078</v>
      </c>
      <c r="AE21" s="35" t="n">
        <f aca="false">AE15+AE16+AE17+AE18+AE19+AE20</f>
        <v>113273.096766914</v>
      </c>
      <c r="AF21" s="35" t="n">
        <f aca="false">AF15+AF16+AF17+AF18+AF19+AF20</f>
        <v>115013.939668636</v>
      </c>
      <c r="AG21" s="35" t="n">
        <f aca="false">AG15+AG16+AG17+AG18+AG19+AG20</f>
        <v>115654.211033767</v>
      </c>
      <c r="AH21" s="35" t="n">
        <f aca="false">AH15+AH16+AH17+AH18+AH19+AH20</f>
        <v>116031.348031132</v>
      </c>
      <c r="AI21" s="35" t="n">
        <f aca="false">AI15+AI16+AI17+AI18+AI19+AI20</f>
        <v>116399.9683965</v>
      </c>
      <c r="AJ21" s="35" t="n">
        <f aca="false">AJ15+AJ16+AJ17+AJ18+AJ19+AJ20</f>
        <v>116744.349470719</v>
      </c>
      <c r="AK21" s="35" t="n">
        <f aca="false">AK15+AK16+AK17+AK18+AK19+AK20</f>
        <v>116961.716571588</v>
      </c>
      <c r="AL21" s="35" t="n">
        <f aca="false">AL15+AL16+AL17+AL18+AL19+AL20</f>
        <v>117011.915984711</v>
      </c>
      <c r="AM21" s="35" t="n">
        <f aca="false">AM15+AM16+AM17+AM18+AM19+AM20</f>
        <v>117001.933345822</v>
      </c>
      <c r="AN21" s="35" t="n">
        <f aca="false">AN15+AN16+AN17+AN18+AN19+AN20</f>
        <v>116991.950706933</v>
      </c>
      <c r="AO21" s="35" t="n">
        <f aca="false">AO15+AO16+AO17+AO18+AO19+AO20</f>
        <v>124445.610224907</v>
      </c>
      <c r="AP21" s="35" t="n">
        <f aca="false">AP15+AP16+AP17+AP18+AP19+AP20</f>
        <v>124395.821494514</v>
      </c>
      <c r="AQ21" s="35" t="n">
        <f aca="false">AQ15+AQ16+AQ17+AQ18+AQ19+AQ20</f>
        <v>124346.032764122</v>
      </c>
      <c r="AR21" s="35" t="n">
        <f aca="false">AR15+AR16+AR17+AR18+AR19+AR20</f>
        <v>125573.664413773</v>
      </c>
      <c r="AS21" s="35" t="n">
        <f aca="false">AS15+AS16+AS17+AS18+AS19+AS20</f>
        <v>125789.4707429</v>
      </c>
      <c r="AT21" s="35" t="n">
        <f aca="false">AT15+AT16+AT17+AT18+AT19+AT20</f>
        <v>125739.682012508</v>
      </c>
      <c r="AU21" s="35" t="n">
        <f aca="false">AU15+AU16+AU17+AU18+AU19+AU20</f>
        <v>125689.893282116</v>
      </c>
      <c r="AV21" s="35" t="n">
        <f aca="false">AV15+AV16+AV17+AV18+AV19+AV20</f>
        <v>125640.104551724</v>
      </c>
      <c r="AW21" s="35" t="n">
        <f aca="false">AW15+AW16+AW17+AW18+AW19+AW20</f>
        <v>125590.315821332</v>
      </c>
      <c r="AX21" s="35" t="n">
        <f aca="false">AX15+AX16+AX17+AX18+AX19+AX20</f>
        <v>125540.52709094</v>
      </c>
      <c r="AY21" s="35" t="n">
        <f aca="false">AY15+AY16+AY17+AY18+AY19+AY20</f>
        <v>125490.738360547</v>
      </c>
      <c r="AZ21" s="35" t="n">
        <f aca="false">AZ15+AZ16+AZ17+AZ18+AZ19+AZ20</f>
        <v>125440.949630155</v>
      </c>
      <c r="BA21" s="35" t="n">
        <f aca="false">BA15+BA16+BA17+BA18+BA19+BA20</f>
        <v>125391.160899763</v>
      </c>
      <c r="BB21" s="35" t="n">
        <f aca="false">BB15+BB16+BB17+BB18+BB19+BB20</f>
        <v>125341.372169371</v>
      </c>
      <c r="BC21" s="35" t="n">
        <f aca="false">BC15+BC16+BC17+BC18+BC19+BC20</f>
        <v>125291.583438979</v>
      </c>
      <c r="BD21" s="35" t="n">
        <f aca="false">BD15+BD16+BD17+BD18+BD19+BD20</f>
        <v>126550.38802782</v>
      </c>
      <c r="BE21" s="35" t="n">
        <f aca="false">BE15+BE16+BE17+BE18+BE19+BE20</f>
        <v>126799.436258138</v>
      </c>
      <c r="BF21" s="35" t="n">
        <f aca="false">BF15+BF16+BF17+BF18+BF19+BF20</f>
        <v>126749.647527745</v>
      </c>
      <c r="BG21" s="35" t="n">
        <f aca="false">BG15+BG16+BG17+BG18+BG19+BG20</f>
        <v>126699.858797353</v>
      </c>
      <c r="BH21" s="35" t="n">
        <f aca="false">BH15+BH16+BH17+BH18+BH19+BH20</f>
        <v>126650.070066961</v>
      </c>
      <c r="BI21" s="35" t="n">
        <f aca="false">BI15+BI16+BI17+BI18+BI19+BI20</f>
        <v>126600.281336569</v>
      </c>
      <c r="BJ21" s="35" t="n">
        <f aca="false">BJ15+BJ16+BJ17+BJ18+BJ19+BJ20</f>
        <v>126550.492606177</v>
      </c>
      <c r="BK21" s="35" t="n">
        <f aca="false">BK15+BK16+BK17+BK18+BK19+BK20</f>
        <v>126500.703875785</v>
      </c>
      <c r="BL21" s="35" t="n">
        <f aca="false">BL15+BL16+BL17+BL18+BL19+BL20</f>
        <v>130617.581812059</v>
      </c>
      <c r="BM21" s="35" t="n">
        <f aca="false">BM15+BM16+BM17+BM18+BM19+BM20</f>
        <v>130545.223637222</v>
      </c>
      <c r="BN21" s="35" t="n">
        <f aca="false">BN15+BN16+BN17+BN18+BN19+BN20</f>
        <v>130472.865462386</v>
      </c>
      <c r="BO21" s="35" t="n">
        <f aca="false">BO15+BO16+BO17+BO18+BO19+BO20</f>
        <v>130400.507287549</v>
      </c>
    </row>
    <row r="22" customFormat="false" ht="15" hidden="false" customHeight="false" outlineLevel="0" collapsed="false">
      <c r="B22" s="8" t="s">
        <v>441</v>
      </c>
      <c r="C22" s="35" t="n">
        <f aca="false">C7+C13-C21</f>
        <v>278222.808666667</v>
      </c>
      <c r="D22" s="35" t="n">
        <f aca="false">D7+D13-D21</f>
        <v>637487.223666667</v>
      </c>
      <c r="E22" s="35" t="n">
        <f aca="false">E7+E13-E21</f>
        <v>1842056.24766667</v>
      </c>
      <c r="F22" s="35" t="n">
        <f aca="false">F7+F13-F21</f>
        <v>1459129.51533333</v>
      </c>
      <c r="G22" s="35" t="n">
        <f aca="false">G7+G13-G21</f>
        <v>381545.786</v>
      </c>
      <c r="H22" s="35" t="n">
        <f aca="false">H7+H13-H21</f>
        <v>484924.259606667</v>
      </c>
      <c r="I22" s="35" t="n">
        <f aca="false">I7+I13-I21</f>
        <v>427353.28942683</v>
      </c>
      <c r="J22" s="35" t="n">
        <f aca="false">J7+J13-J21</f>
        <v>376076.27506444</v>
      </c>
      <c r="K22" s="35" t="n">
        <f aca="false">K7+K13-K21</f>
        <v>335556.413491512</v>
      </c>
      <c r="L22" s="35" t="n">
        <f aca="false">L7+L13-L21</f>
        <v>297996.316986747</v>
      </c>
      <c r="M22" s="35" t="n">
        <f aca="false">M7+M13-M21</f>
        <v>264420.912533769</v>
      </c>
      <c r="N22" s="35" t="n">
        <f aca="false">N7+N13-N21</f>
        <v>234742.536907441</v>
      </c>
      <c r="O22" s="35" t="n">
        <f aca="false">O7+O13-O21</f>
        <v>208875.455473575</v>
      </c>
      <c r="P22" s="35" t="n">
        <f aca="false">P7+P13-P21</f>
        <v>186735.819759938</v>
      </c>
      <c r="Q22" s="35" t="n">
        <f aca="false">Q7+Q13-Q21</f>
        <v>168241.625960684</v>
      </c>
      <c r="R22" s="35" t="n">
        <f aca="false">R7+R13-R21</f>
        <v>153312.674353698</v>
      </c>
      <c r="S22" s="35" t="n">
        <f aca="false">S7+S13-S21</f>
        <v>141870.529610748</v>
      </c>
      <c r="T22" s="35" t="n">
        <f aca="false">T7+T13-T21</f>
        <v>128360.973960827</v>
      </c>
      <c r="U22" s="35" t="n">
        <f aca="false">U7+U13-U21</f>
        <v>117770.222965465</v>
      </c>
      <c r="V22" s="35" t="n">
        <f aca="false">V7+V13-V21</f>
        <v>109965.441675282</v>
      </c>
      <c r="W22" s="35" t="n">
        <f aca="false">W7+W13-W21</f>
        <v>104885.338756765</v>
      </c>
      <c r="X22" s="35" t="n">
        <f aca="false">X7+X13-X21</f>
        <v>102469.971285737</v>
      </c>
      <c r="Y22" s="35" t="n">
        <f aca="false">Y7+Y13-Y21</f>
        <v>102660.715082354</v>
      </c>
      <c r="Z22" s="35" t="n">
        <f aca="false">Z7+Z13-Z21</f>
        <v>105400.235698727</v>
      </c>
      <c r="AA22" s="35" t="n">
        <f aca="false">AA7+AA13-AA21</f>
        <v>110632.460044821</v>
      </c>
      <c r="AB22" s="35" t="n">
        <f aca="false">AB7+AB13-AB21</f>
        <v>116219.21530525</v>
      </c>
      <c r="AC22" s="35" t="n">
        <f aca="false">AC7+AC13-AC21</f>
        <v>124200.184438787</v>
      </c>
      <c r="AD22" s="35" t="n">
        <f aca="false">AD7+AD13-AD21</f>
        <v>134522.914358279</v>
      </c>
      <c r="AE22" s="35" t="n">
        <f aca="false">AE7+AE13-AE21</f>
        <v>147136.105944491</v>
      </c>
      <c r="AF22" s="35" t="n">
        <f aca="false">AF7+AF13-AF21</f>
        <v>162182.666559945</v>
      </c>
      <c r="AG22" s="35" t="n">
        <f aca="false">AG7+AG13-AG21</f>
        <v>178708.232804018</v>
      </c>
      <c r="AH22" s="35" t="n">
        <f aca="false">AH7+AH13-AH21</f>
        <v>196929.314950614</v>
      </c>
      <c r="AI22" s="35" t="n">
        <f aca="false">AI7+AI13-AI21</f>
        <v>216808.831267932</v>
      </c>
      <c r="AJ22" s="35" t="n">
        <f aca="false">AJ7+AJ13-AJ21</f>
        <v>237730.651387766</v>
      </c>
      <c r="AK22" s="35" t="n">
        <f aca="false">AK7+AK13-AK21</f>
        <v>258819.534816178</v>
      </c>
      <c r="AL22" s="35" t="n">
        <f aca="false">AL7+AL13-AL21</f>
        <v>279858.218831467</v>
      </c>
      <c r="AM22" s="35" t="n">
        <f aca="false">AM7+AM13-AM21</f>
        <v>300906.885485646</v>
      </c>
      <c r="AN22" s="35" t="n">
        <f aca="false">AN7+AN13-AN21</f>
        <v>321965.534778713</v>
      </c>
      <c r="AO22" s="35" t="n">
        <f aca="false">AO7+AO13-AO21</f>
        <v>335570.524553806</v>
      </c>
      <c r="AP22" s="35" t="n">
        <f aca="false">AP7+AP13-AP21</f>
        <v>349225.303059292</v>
      </c>
      <c r="AQ22" s="35" t="n">
        <f aca="false">AQ7+AQ13-AQ21</f>
        <v>362929.870295169</v>
      </c>
      <c r="AR22" s="35" t="n">
        <f aca="false">AR7+AR13-AR21</f>
        <v>377486.037881396</v>
      </c>
      <c r="AS22" s="35" t="n">
        <f aca="false">AS7+AS13-AS21</f>
        <v>391826.399138496</v>
      </c>
      <c r="AT22" s="35" t="n">
        <f aca="false">AT7+AT13-AT21</f>
        <v>406216.549125987</v>
      </c>
      <c r="AU22" s="35" t="n">
        <f aca="false">AU7+AU13-AU21</f>
        <v>420656.487843871</v>
      </c>
      <c r="AV22" s="35" t="n">
        <f aca="false">AV7+AV13-AV21</f>
        <v>435146.215292148</v>
      </c>
      <c r="AW22" s="35" t="n">
        <f aca="false">AW7+AW13-AW21</f>
        <v>449685.731470816</v>
      </c>
      <c r="AX22" s="35" t="n">
        <f aca="false">AX7+AX13-AX21</f>
        <v>464275.036379876</v>
      </c>
      <c r="AY22" s="35" t="n">
        <f aca="false">AY7+AY13-AY21</f>
        <v>478914.130019329</v>
      </c>
      <c r="AZ22" s="35" t="n">
        <f aca="false">AZ7+AZ13-AZ21</f>
        <v>493603.012389173</v>
      </c>
      <c r="BA22" s="35" t="n">
        <f aca="false">BA7+BA13-BA21</f>
        <v>508341.68348941</v>
      </c>
      <c r="BB22" s="35" t="n">
        <f aca="false">BB7+BB13-BB21</f>
        <v>523130.143320039</v>
      </c>
      <c r="BC22" s="35" t="n">
        <f aca="false">BC7+BC13-BC21</f>
        <v>537968.39188106</v>
      </c>
      <c r="BD22" s="35" t="n">
        <f aca="false">BD7+BD13-BD21</f>
        <v>553843.582493241</v>
      </c>
      <c r="BE22" s="35" t="n">
        <f aca="false">BE7+BE13-BE21</f>
        <v>569469.724875103</v>
      </c>
      <c r="BF22" s="35" t="n">
        <f aca="false">BF7+BF13-BF21</f>
        <v>585145.655987358</v>
      </c>
      <c r="BG22" s="35" t="n">
        <f aca="false">BG7+BG13-BG21</f>
        <v>600871.375830005</v>
      </c>
      <c r="BH22" s="35" t="n">
        <f aca="false">BH7+BH13-BH21</f>
        <v>616646.884403044</v>
      </c>
      <c r="BI22" s="35" t="n">
        <f aca="false">BI7+BI13-BI21</f>
        <v>632472.181706475</v>
      </c>
      <c r="BJ22" s="35" t="n">
        <f aca="false">BJ7+BJ13-BJ21</f>
        <v>648347.267740298</v>
      </c>
      <c r="BK22" s="35" t="n">
        <f aca="false">BK7+BK13-BK21</f>
        <v>664272.142504514</v>
      </c>
      <c r="BL22" s="35" t="n">
        <f aca="false">BL7+BL13-BL21</f>
        <v>676080.139332454</v>
      </c>
      <c r="BM22" s="35" t="n">
        <f aca="false">BM7+BM13-BM21</f>
        <v>687960.494335232</v>
      </c>
      <c r="BN22" s="35" t="n">
        <f aca="false">BN7+BN13-BN21</f>
        <v>699913.207512846</v>
      </c>
      <c r="BO22" s="35" t="n">
        <f aca="false">BO7+BO13-BO21</f>
        <v>711938.278865297</v>
      </c>
    </row>
    <row r="23" customFormat="false" ht="15" hidden="false" customHeight="false" outlineLevel="0" collapsed="false">
      <c r="B23" s="8" t="s">
        <v>442</v>
      </c>
    </row>
    <row r="24" customFormat="false" ht="15" hidden="false" customHeight="false" outlineLevel="0" collapsed="false">
      <c r="B24" s="2" t="s">
        <v>443</v>
      </c>
      <c r="C24" s="25" t="n">
        <f aca="false">0-Kosten!C25-IFERROR(INDEX(ZP_Vst,MATCH(C$4,ZP_Monat,0)),0)</f>
        <v>-5490.658</v>
      </c>
      <c r="D24" s="25" t="n">
        <f aca="false">0-Kosten!D25-IFERROR(INDEX(ZP_Vst,MATCH(D$4,ZP_Monat,0)),0)</f>
        <v>-54461.543</v>
      </c>
      <c r="E24" s="25" t="n">
        <f aca="false">0-Kosten!E25-IFERROR(INDEX(ZP_Vst,MATCH(E$4,ZP_Monat,0)),0)</f>
        <v>-56678.2096666667</v>
      </c>
      <c r="F24" s="25" t="n">
        <f aca="false">0-Kosten!F25-IFERROR(INDEX(ZP_Vst,MATCH(F$4,ZP_Monat,0)),0)</f>
        <v>-66699.1326666667</v>
      </c>
      <c r="G24" s="25" t="n">
        <f aca="false">0-Kosten!G25-IFERROR(INDEX(ZP_Vst,MATCH(G$4,ZP_Monat,0)),0)</f>
        <v>-172903.052666667</v>
      </c>
      <c r="H24" s="25" t="n">
        <f aca="false">Umsatz!C17-Kosten!H25-IFERROR(INDEX(ZP_Vst,MATCH(H$4,ZP_Monat,0)),0)</f>
        <v>-4251.35710784314</v>
      </c>
      <c r="I24" s="25" t="n">
        <f aca="false">Umsatz!D17-Kosten!I25-IFERROR(INDEX(ZP_Vst,MATCH(I$4,ZP_Monat,0)),0)</f>
        <v>-3012.51069196078</v>
      </c>
      <c r="J24" s="25" t="n">
        <f aca="false">Umsatz!E17-Kosten!J25-IFERROR(INDEX(ZP_Vst,MATCH(J$4,ZP_Monat,0)),0)</f>
        <v>-1800.91889722784</v>
      </c>
      <c r="K24" s="25" t="n">
        <f aca="false">Umsatz!F17-Kosten!K25-IFERROR(INDEX(ZP_Vst,MATCH(K$4,ZP_Monat,0)),0)</f>
        <v>115.597709953746</v>
      </c>
      <c r="L24" s="25" t="n">
        <f aca="false">Umsatz!G17-Kosten!L25-IFERROR(INDEX(ZP_Vst,MATCH(L$4,ZP_Monat,0)),0)</f>
        <v>899.90913665129</v>
      </c>
      <c r="M24" s="25" t="n">
        <f aca="false">Umsatz!H17-Kosten!M25-IFERROR(INDEX(ZP_Vst,MATCH(M$4,ZP_Monat,0)),0)</f>
        <v>1666.96571196149</v>
      </c>
      <c r="N24" s="25" t="n">
        <f aca="false">Umsatz!I17-Kosten!N25-IFERROR(INDEX(ZP_Vst,MATCH(N$4,ZP_Monat,0)),0)</f>
        <v>2417.14704261486</v>
      </c>
      <c r="O24" s="25" t="n">
        <f aca="false">Umsatz!J17-Kosten!O25-IFERROR(INDEX(ZP_Vst,MATCH(O$4,ZP_Monat,0)),0)</f>
        <v>3150.82438399386</v>
      </c>
      <c r="P24" s="25" t="n">
        <f aca="false">Umsatz!K17-Kosten!P25-IFERROR(INDEX(ZP_Vst,MATCH(P$4,ZP_Monat,0)),0)</f>
        <v>3868.36082386252</v>
      </c>
      <c r="Q24" s="25" t="n">
        <f aca="false">Umsatz!L17-Kosten!Q25-IFERROR(INDEX(ZP_Vst,MATCH(Q$4,ZP_Monat,0)),0)</f>
        <v>4570.11146205408</v>
      </c>
      <c r="R24" s="25" t="n">
        <f aca="false">Umsatz!M17-Kosten!R25-IFERROR(INDEX(ZP_Vst,MATCH(R$4,ZP_Monat,0)),0)</f>
        <v>5256.42358620542</v>
      </c>
      <c r="S24" s="25" t="n">
        <f aca="false">Umsatz!N17-Kosten!S25-IFERROR(INDEX(ZP_Vst,MATCH(S$4,ZP_Monat,0)),0)</f>
        <v>5927.63684362542</v>
      </c>
      <c r="T24" s="25" t="n">
        <f aca="false">Umsatz!O17-Kosten!T25-IFERROR(INDEX(ZP_Vst,MATCH(T$4,ZP_Monat,0)),0)</f>
        <v>6418.17294736538</v>
      </c>
      <c r="U24" s="25" t="n">
        <f aca="false">Umsatz!P17-Kosten!U25-IFERROR(INDEX(ZP_Vst,MATCH(U$4,ZP_Monat,0)),0)</f>
        <v>6966.53850380155</v>
      </c>
      <c r="V24" s="25" t="n">
        <f aca="false">Umsatz!Q17-Kosten!V25-IFERROR(INDEX(ZP_Vst,MATCH(V$4,ZP_Monat,0)),0)</f>
        <v>7502.84001799613</v>
      </c>
      <c r="W24" s="25" t="n">
        <f aca="false">Umsatz!R17-Kosten!W25-IFERROR(INDEX(ZP_Vst,MATCH(W$4,ZP_Monat,0)),0)</f>
        <v>8027.34289887842</v>
      </c>
      <c r="X24" s="25" t="n">
        <f aca="false">Umsatz!S17-Kosten!X25-IFERROR(INDEX(ZP_Vst,MATCH(X$4,ZP_Monat,0)),0)</f>
        <v>8540.3067163813</v>
      </c>
      <c r="Y24" s="25" t="n">
        <f aca="false">Umsatz!T17-Kosten!Y25-IFERROR(INDEX(ZP_Vst,MATCH(Y$4,ZP_Monat,0)),0)</f>
        <v>9041.98532989912</v>
      </c>
      <c r="Z24" s="25" t="n">
        <f aca="false">Umsatz!U17-Kosten!Z25-IFERROR(INDEX(ZP_Vst,MATCH(Z$4,ZP_Monat,0)),0)</f>
        <v>9532.62701391955</v>
      </c>
      <c r="AA24" s="25" t="n">
        <f aca="false">Umsatz!V17-Kosten!AA25-IFERROR(INDEX(ZP_Vst,MATCH(AA$4,ZP_Monat,0)),0)</f>
        <v>10012.4745808915</v>
      </c>
      <c r="AB24" s="25" t="n">
        <f aca="false">Umsatz!W17-Kosten!AB25-IFERROR(INDEX(ZP_Vst,MATCH(AB$4,ZP_Monat,0)),0)</f>
        <v>10481.7655013901</v>
      </c>
      <c r="AC24" s="25" t="n">
        <f aca="false">Umsatz!X17-Kosten!AC25-IFERROR(INDEX(ZP_Vst,MATCH(AC$4,ZP_Monat,0)),0)</f>
        <v>10940.7320216377</v>
      </c>
      <c r="AD24" s="25" t="n">
        <f aca="false">Umsatz!Y17-Kosten!AD25-IFERROR(INDEX(ZP_Vst,MATCH(AD$4,ZP_Monat,0)),0)</f>
        <v>11389.6012784399</v>
      </c>
      <c r="AE24" s="25" t="n">
        <f aca="false">Umsatz!Z17-Kosten!AE25-IFERROR(INDEX(ZP_Vst,MATCH(AE$4,ZP_Monat,0)),0)</f>
        <v>11828.5954115925</v>
      </c>
      <c r="AF24" s="25" t="n">
        <f aca="false">Umsatz!AA17-Kosten!AF25-IFERROR(INDEX(ZP_Vst,MATCH(AF$4,ZP_Monat,0)),0)</f>
        <v>12422.254592642</v>
      </c>
      <c r="AG24" s="25" t="n">
        <f aca="false">Umsatz!AB17-Kosten!AG25-IFERROR(INDEX(ZP_Vst,MATCH(AG$4,ZP_Monat,0)),0)</f>
        <v>12754.0244920304</v>
      </c>
      <c r="AH24" s="25" t="n">
        <f aca="false">Umsatz!AC17-Kosten!AH25-IFERROR(INDEX(ZP_Vst,MATCH(AH$4,ZP_Monat,0)),0)</f>
        <v>13078.4954536322</v>
      </c>
      <c r="AI24" s="25" t="n">
        <f aca="false">Umsatz!AD17-Kosten!AI25-IFERROR(INDEX(ZP_Vst,MATCH(AI$4,ZP_Monat,0)),0)</f>
        <v>13395.8280540789</v>
      </c>
      <c r="AJ24" s="25" t="n">
        <f aca="false">Umsatz!AE17-Kosten!AJ25-IFERROR(INDEX(ZP_Vst,MATCH(AJ$4,ZP_Monat,0)),0)</f>
        <v>13612.9116648549</v>
      </c>
      <c r="AK24" s="25" t="n">
        <f aca="false">Umsatz!AF17-Kosten!AK25-IFERROR(INDEX(ZP_Vst,MATCH(AK$4,ZP_Monat,0)),0)</f>
        <v>13673.0937168661</v>
      </c>
      <c r="AL24" s="25" t="n">
        <f aca="false">Umsatz!AG17-Kosten!AL25-IFERROR(INDEX(ZP_Vst,MATCH(AL$4,ZP_Monat,0)),0)</f>
        <v>13673.0937168661</v>
      </c>
      <c r="AM24" s="25" t="n">
        <f aca="false">Umsatz!AH17-Kosten!AM25-IFERROR(INDEX(ZP_Vst,MATCH(AM$4,ZP_Monat,0)),0)</f>
        <v>13673.0937168661</v>
      </c>
      <c r="AN24" s="25" t="n">
        <f aca="false">Umsatz!AI17-Kosten!AN25-IFERROR(INDEX(ZP_Vst,MATCH(AN$4,ZP_Monat,0)),0)</f>
        <v>13673.0937168661</v>
      </c>
      <c r="AO24" s="25" t="n">
        <f aca="false">Umsatz!AJ17-Kosten!AO25-IFERROR(INDEX(ZP_Vst,MATCH(AO$4,ZP_Monat,0)),0)</f>
        <v>13673.0937168661</v>
      </c>
      <c r="AP24" s="25" t="n">
        <f aca="false">Umsatz!AK17-Kosten!AP25-IFERROR(INDEX(ZP_Vst,MATCH(AP$4,ZP_Monat,0)),0)</f>
        <v>13673.0937168661</v>
      </c>
      <c r="AQ24" s="25" t="n">
        <f aca="false">Umsatz!AL17-Kosten!AQ25-IFERROR(INDEX(ZP_Vst,MATCH(AQ$4,ZP_Monat,0)),0)</f>
        <v>13673.0937168661</v>
      </c>
      <c r="AR24" s="25" t="n">
        <f aca="false">Umsatz!AM17-Kosten!AR25-IFERROR(INDEX(ZP_Vst,MATCH(AR$4,ZP_Monat,0)),0)</f>
        <v>13938.6887763855</v>
      </c>
      <c r="AS24" s="25" t="n">
        <f aca="false">Umsatz!AN17-Kosten!AS25-IFERROR(INDEX(ZP_Vst,MATCH(AS$4,ZP_Monat,0)),0)</f>
        <v>13938.6887763855</v>
      </c>
      <c r="AT24" s="25" t="n">
        <f aca="false">Umsatz!AO17-Kosten!AT25-IFERROR(INDEX(ZP_Vst,MATCH(AT$4,ZP_Monat,0)),0)</f>
        <v>13938.6887763855</v>
      </c>
      <c r="AU24" s="25" t="n">
        <f aca="false">Umsatz!AP17-Kosten!AU25-IFERROR(INDEX(ZP_Vst,MATCH(AU$4,ZP_Monat,0)),0)</f>
        <v>13938.6887763855</v>
      </c>
      <c r="AV24" s="25" t="n">
        <f aca="false">Umsatz!AQ17-Kosten!AV25-IFERROR(INDEX(ZP_Vst,MATCH(AV$4,ZP_Monat,0)),0)</f>
        <v>13938.6887763855</v>
      </c>
      <c r="AW24" s="25" t="n">
        <f aca="false">Umsatz!AR17-Kosten!AW25-IFERROR(INDEX(ZP_Vst,MATCH(AW$4,ZP_Monat,0)),0)</f>
        <v>13938.6887763855</v>
      </c>
      <c r="AX24" s="25" t="n">
        <f aca="false">Umsatz!AS17-Kosten!AX25-IFERROR(INDEX(ZP_Vst,MATCH(AX$4,ZP_Monat,0)),0)</f>
        <v>13938.6887763855</v>
      </c>
      <c r="AY24" s="25" t="n">
        <f aca="false">Umsatz!AT17-Kosten!AY25-IFERROR(INDEX(ZP_Vst,MATCH(AY$4,ZP_Monat,0)),0)</f>
        <v>13938.6887763855</v>
      </c>
      <c r="AZ24" s="25" t="n">
        <f aca="false">Umsatz!AU17-Kosten!AZ25-IFERROR(INDEX(ZP_Vst,MATCH(AZ$4,ZP_Monat,0)),0)</f>
        <v>13938.6887763855</v>
      </c>
      <c r="BA24" s="25" t="n">
        <f aca="false">Umsatz!AV17-Kosten!BA25-IFERROR(INDEX(ZP_Vst,MATCH(BA$4,ZP_Monat,0)),0)</f>
        <v>13938.6887763855</v>
      </c>
      <c r="BB24" s="25" t="n">
        <f aca="false">Umsatz!AW17-Kosten!BB25-IFERROR(INDEX(ZP_Vst,MATCH(BB$4,ZP_Monat,0)),0)</f>
        <v>13938.6887763855</v>
      </c>
      <c r="BC24" s="25" t="n">
        <f aca="false">Umsatz!AX17-Kosten!BC25-IFERROR(INDEX(ZP_Vst,MATCH(BC$4,ZP_Monat,0)),0)</f>
        <v>13938.6887763855</v>
      </c>
      <c r="BD24" s="25" t="n">
        <f aca="false">Umsatz!AY17-Kosten!BD25-IFERROR(INDEX(ZP_Vst,MATCH(BD$4,ZP_Monat,0)),0)</f>
        <v>14237.5257370953</v>
      </c>
      <c r="BE24" s="25" t="n">
        <f aca="false">Umsatz!AZ17-Kosten!BE25-IFERROR(INDEX(ZP_Vst,MATCH(BE$4,ZP_Monat,0)),0)</f>
        <v>14237.5257370953</v>
      </c>
      <c r="BF24" s="25" t="n">
        <f aca="false">Umsatz!BA17-Kosten!BF25-IFERROR(INDEX(ZP_Vst,MATCH(BF$4,ZP_Monat,0)),0)</f>
        <v>14237.5257370953</v>
      </c>
      <c r="BG24" s="25" t="n">
        <f aca="false">Umsatz!BB17-Kosten!BG25-IFERROR(INDEX(ZP_Vst,MATCH(BG$4,ZP_Monat,0)),0)</f>
        <v>14237.5257370953</v>
      </c>
      <c r="BH24" s="25" t="n">
        <f aca="false">Umsatz!BC17-Kosten!BH25-IFERROR(INDEX(ZP_Vst,MATCH(BH$4,ZP_Monat,0)),0)</f>
        <v>14237.5257370953</v>
      </c>
      <c r="BI24" s="25" t="n">
        <f aca="false">Umsatz!BD17-Kosten!BI25-IFERROR(INDEX(ZP_Vst,MATCH(BI$4,ZP_Monat,0)),0)</f>
        <v>14237.5257370953</v>
      </c>
      <c r="BJ24" s="25" t="n">
        <f aca="false">Umsatz!BE17-Kosten!BJ25-IFERROR(INDEX(ZP_Vst,MATCH(BJ$4,ZP_Monat,0)),0)</f>
        <v>14237.5257370953</v>
      </c>
      <c r="BK24" s="25" t="n">
        <f aca="false">Umsatz!BF17-Kosten!BK25-IFERROR(INDEX(ZP_Vst,MATCH(BK$4,ZP_Monat,0)),0)</f>
        <v>14237.5257370953</v>
      </c>
      <c r="BL24" s="25" t="n">
        <f aca="false">Umsatz!BG17-Kosten!BL25-IFERROR(INDEX(ZP_Vst,MATCH(BL$4,ZP_Monat,0)),0)</f>
        <v>14237.5257370953</v>
      </c>
      <c r="BM24" s="25" t="n">
        <f aca="false">Umsatz!BH17-Kosten!BM25-IFERROR(INDEX(ZP_Vst,MATCH(BM$4,ZP_Monat,0)),0)</f>
        <v>14237.5257370953</v>
      </c>
      <c r="BN24" s="25" t="n">
        <f aca="false">Umsatz!BI17-Kosten!BN25-IFERROR(INDEX(ZP_Vst,MATCH(BN$4,ZP_Monat,0)),0)</f>
        <v>14237.5257370953</v>
      </c>
      <c r="BO24" s="25" t="n">
        <f aca="false">Umsatz!BJ17-Kosten!BO25-IFERROR(INDEX(ZP_Vst,MATCH(BO$4,ZP_Monat,0)),0)</f>
        <v>14237.5257370953</v>
      </c>
    </row>
    <row r="25" customFormat="false" ht="15" hidden="false" customHeight="false" outlineLevel="0" collapsed="false">
      <c r="B25" s="2" t="s">
        <v>444</v>
      </c>
      <c r="C25" s="25" t="n">
        <f aca="false">0-Kosten!C23-C18-C19-C20</f>
        <v>-1458.33333333333</v>
      </c>
      <c r="D25" s="25" t="n">
        <f aca="false">0-Kosten!D23-D18-D19-D20</f>
        <v>-6125</v>
      </c>
      <c r="E25" s="25" t="n">
        <f aca="false">0-Kosten!E23-E18-E19-E20</f>
        <v>-30157.6093333333</v>
      </c>
      <c r="F25" s="25" t="n">
        <f aca="false">0-Kosten!F23-F18-F19-F20</f>
        <v>-55266.1093333333</v>
      </c>
      <c r="G25" s="25" t="n">
        <f aca="false">0-Kosten!G23-G18-G19-G20</f>
        <v>-62544.1093333333</v>
      </c>
      <c r="H25" s="25" t="n">
        <f aca="false">Umsatz!C16-Kosten!H23-H18-H19-H20</f>
        <v>-65273.2219521569</v>
      </c>
      <c r="I25" s="25" t="n">
        <f aca="false">Umsatz!D16-Kosten!I23-I18-I19-I20</f>
        <v>-58809.8165957192</v>
      </c>
      <c r="J25" s="25" t="n">
        <f aca="false">Umsatz!E16-Kosten!J23-J18-J19-J20</f>
        <v>-52488.6061571232</v>
      </c>
      <c r="K25" s="25" t="n">
        <f aca="false">Umsatz!F16-Kosten!K23-K18-K19-K20</f>
        <v>-42436.3781801091</v>
      </c>
      <c r="L25" s="25" t="n">
        <f aca="false">Umsatz!G16-Kosten!L23-L18-L19-L20</f>
        <v>-38344.4079314632</v>
      </c>
      <c r="M25" s="25" t="n">
        <f aca="false">Umsatz!H16-Kosten!M23-M18-M19-M20</f>
        <v>-34342.4610282875</v>
      </c>
      <c r="N25" s="25" t="n">
        <f aca="false">Umsatz!I16-Kosten!N23-N18-N19-N20</f>
        <v>-30428.5569569817</v>
      </c>
      <c r="O25" s="25" t="n">
        <f aca="false">Umsatz!J16-Kosten!O23-O18-O19-O20</f>
        <v>-26600.7587752447</v>
      </c>
      <c r="P25" s="25" t="n">
        <f aca="false">Umsatz!K16-Kosten!P23-P18-P19-P20</f>
        <v>-22857.1721535058</v>
      </c>
      <c r="Q25" s="25" t="n">
        <f aca="false">Umsatz!L16-Kosten!Q23-Q18-Q19-Q20</f>
        <v>-19195.9444374452</v>
      </c>
      <c r="R25" s="25" t="n">
        <f aca="false">Umsatz!M16-Kosten!R23-R18-R19-R20</f>
        <v>-15615.2637311379</v>
      </c>
      <c r="S25" s="25" t="n">
        <f aca="false">Umsatz!N16-Kosten!S23-S18-S19-S20</f>
        <v>-12113.3580003694</v>
      </c>
      <c r="T25" s="25" t="n">
        <f aca="false">Umsatz!O16-Kosten!T23-T18-T19-T20</f>
        <v>-14000.091753661</v>
      </c>
      <c r="U25" s="25" t="n">
        <f aca="false">Umsatz!P16-Kosten!U23-U18-U19-U20</f>
        <v>-11139.1165517987</v>
      </c>
      <c r="V25" s="25" t="n">
        <f aca="false">Umsatz!Q16-Kosten!V23-V18-V19-V20</f>
        <v>-8341.0828043773</v>
      </c>
      <c r="W25" s="25" t="n">
        <f aca="false">Umsatz!R16-Kosten!W23-W18-W19-W20</f>
        <v>-5604.60579939921</v>
      </c>
      <c r="X25" s="25" t="n">
        <f aca="false">Umsatz!S16-Kosten!X23-X18-X19-X20</f>
        <v>-2928.33128853063</v>
      </c>
      <c r="Y25" s="25" t="n">
        <f aca="false">Umsatz!T16-Kosten!Y23-Y18-Y19-Y20</f>
        <v>-310.934816901205</v>
      </c>
      <c r="Z25" s="25" t="n">
        <f aca="false">Umsatz!U16-Kosten!Z23-Z18-Z19-Z20</f>
        <v>2248.87893235246</v>
      </c>
      <c r="AA25" s="25" t="n">
        <f aca="false">Umsatz!V16-Kosten!AA23-AA18-AA19-AA20</f>
        <v>4752.3767791225</v>
      </c>
      <c r="AB25" s="25" t="n">
        <f aca="false">Umsatz!W16-Kosten!AB23-AB18-AB19-AB20</f>
        <v>5117.46433993026</v>
      </c>
      <c r="AC25" s="25" t="n">
        <f aca="false">Umsatz!X16-Kosten!AC23-AC18-AC19-AC20</f>
        <v>7522.00261328913</v>
      </c>
      <c r="AD25" s="25" t="n">
        <f aca="false">Umsatz!Y16-Kosten!AD23-AD18-AD19-AD20</f>
        <v>9873.86066268969</v>
      </c>
      <c r="AE25" s="25" t="n">
        <f aca="false">Umsatz!Z16-Kosten!AE23-AE18-AE19-AE20</f>
        <v>12174.197453059</v>
      </c>
      <c r="AF25" s="25" t="n">
        <f aca="false">Umsatz!AA16-Kosten!AF23-AF18-AF19-AF20</f>
        <v>14452.9014344051</v>
      </c>
      <c r="AG25" s="25" t="n">
        <f aca="false">Umsatz!AB16-Kosten!AG23-AG18-AG19-AG20</f>
        <v>16193.7963446846</v>
      </c>
      <c r="AH25" s="25" t="n">
        <f aca="false">Umsatz!AC16-Kosten!AH23-AH18-AH19-AH20</f>
        <v>17896.6111849936</v>
      </c>
      <c r="AI25" s="25" t="n">
        <f aca="false">Umsatz!AD16-Kosten!AI23-AI18-AI19-AI20</f>
        <v>19562.1837168713</v>
      </c>
      <c r="AJ25" s="25" t="n">
        <f aca="false">Umsatz!AE16-Kosten!AJ23-AJ18-AJ19-AJ20</f>
        <v>20704.7365090583</v>
      </c>
      <c r="AK25" s="25" t="n">
        <f aca="false">Umsatz!AF16-Kosten!AK23-AK18-AK19-AK20</f>
        <v>21028.7013764006</v>
      </c>
      <c r="AL25" s="25" t="n">
        <f aca="false">Umsatz!AG16-Kosten!AL23-AL18-AL19-AL20</f>
        <v>21038.6840152894</v>
      </c>
      <c r="AM25" s="25" t="n">
        <f aca="false">Umsatz!AH16-Kosten!AM23-AM18-AM19-AM20</f>
        <v>21048.6666541783</v>
      </c>
      <c r="AN25" s="25" t="n">
        <f aca="false">Umsatz!AI16-Kosten!AN23-AN18-AN19-AN20</f>
        <v>21058.6492930672</v>
      </c>
      <c r="AO25" s="25" t="n">
        <f aca="false">Umsatz!AJ16-Kosten!AO23-AO18-AO19-AO20</f>
        <v>13604.9897750934</v>
      </c>
      <c r="AP25" s="25" t="n">
        <f aca="false">Umsatz!AK16-Kosten!AP23-AP18-AP19-AP20</f>
        <v>13654.7785054855</v>
      </c>
      <c r="AQ25" s="25" t="n">
        <f aca="false">Umsatz!AL16-Kosten!AQ23-AQ18-AQ19-AQ20</f>
        <v>13704.5672358777</v>
      </c>
      <c r="AR25" s="25" t="n">
        <f aca="false">Umsatz!AM16-Kosten!AR23-AR18-AR19-AR20</f>
        <v>14290.5725267075</v>
      </c>
      <c r="AS25" s="25" t="n">
        <f aca="false">Umsatz!AN16-Kosten!AS23-AS18-AS19-AS20</f>
        <v>14340.3612570996</v>
      </c>
      <c r="AT25" s="25" t="n">
        <f aca="false">Umsatz!AO16-Kosten!AT23-AT18-AT19-AT20</f>
        <v>14390.1499874918</v>
      </c>
      <c r="AU25" s="25" t="n">
        <f aca="false">Umsatz!AP16-Kosten!AU23-AU18-AU19-AU20</f>
        <v>14439.9387178839</v>
      </c>
      <c r="AV25" s="25" t="n">
        <f aca="false">Umsatz!AQ16-Kosten!AV23-AV18-AV19-AV20</f>
        <v>14489.7274482761</v>
      </c>
      <c r="AW25" s="25" t="n">
        <f aca="false">Umsatz!AR16-Kosten!AW23-AW18-AW19-AW20</f>
        <v>14539.5161786682</v>
      </c>
      <c r="AX25" s="25" t="n">
        <f aca="false">Umsatz!AS16-Kosten!AX23-AX18-AX19-AX20</f>
        <v>14589.3049090604</v>
      </c>
      <c r="AY25" s="25" t="n">
        <f aca="false">Umsatz!AT16-Kosten!AY23-AY18-AY19-AY20</f>
        <v>14639.0936394525</v>
      </c>
      <c r="AZ25" s="25" t="n">
        <f aca="false">Umsatz!AU16-Kosten!AZ23-AZ18-AZ19-AZ20</f>
        <v>14688.8823698447</v>
      </c>
      <c r="BA25" s="25" t="n">
        <f aca="false">Umsatz!AV16-Kosten!BA23-BA18-BA19-BA20</f>
        <v>14738.6711002369</v>
      </c>
      <c r="BB25" s="25" t="n">
        <f aca="false">Umsatz!AW16-Kosten!BB23-BB18-BB19-BB20</f>
        <v>14788.459830629</v>
      </c>
      <c r="BC25" s="25" t="n">
        <f aca="false">Umsatz!AX16-Kosten!BC23-BC18-BC19-BC20</f>
        <v>14838.2485610212</v>
      </c>
      <c r="BD25" s="25" t="n">
        <f aca="false">Umsatz!AY16-Kosten!BD23-BD18-BD19-BD20</f>
        <v>15576.3536514704</v>
      </c>
      <c r="BE25" s="25" t="n">
        <f aca="false">Umsatz!AZ16-Kosten!BE23-BE18-BE19-BE20</f>
        <v>15626.1423818625</v>
      </c>
      <c r="BF25" s="25" t="n">
        <f aca="false">Umsatz!BA16-Kosten!BF23-BF18-BF19-BF20</f>
        <v>15675.9311122547</v>
      </c>
      <c r="BG25" s="25" t="n">
        <f aca="false">Umsatz!BB16-Kosten!BG23-BG18-BG19-BG20</f>
        <v>15725.7198426468</v>
      </c>
      <c r="BH25" s="25" t="n">
        <f aca="false">Umsatz!BC16-Kosten!BH23-BH18-BH19-BH20</f>
        <v>15775.508573039</v>
      </c>
      <c r="BI25" s="25" t="n">
        <f aca="false">Umsatz!BD16-Kosten!BI23-BI18-BI19-BI20</f>
        <v>15825.2973034311</v>
      </c>
      <c r="BJ25" s="25" t="n">
        <f aca="false">Umsatz!BE16-Kosten!BJ23-BJ18-BJ19-BJ20</f>
        <v>15875.0860338233</v>
      </c>
      <c r="BK25" s="25" t="n">
        <f aca="false">Umsatz!BF16-Kosten!BK23-BK18-BK19-BK20</f>
        <v>15924.8747642155</v>
      </c>
      <c r="BL25" s="25" t="n">
        <f aca="false">Umsatz!BG16-Kosten!BL23-BL18-BL19-BL20</f>
        <v>11807.9968279409</v>
      </c>
      <c r="BM25" s="25" t="n">
        <f aca="false">Umsatz!BH16-Kosten!BM23-BM18-BM19-BM20</f>
        <v>11880.3550027775</v>
      </c>
      <c r="BN25" s="25" t="n">
        <f aca="false">Umsatz!BI16-Kosten!BN23-BN18-BN19-BN20</f>
        <v>11952.7131776141</v>
      </c>
      <c r="BO25" s="25" t="n">
        <f aca="false">Umsatz!BJ16-Kosten!BO23-BO18-BO19-BO20</f>
        <v>12025.0713524507</v>
      </c>
    </row>
    <row r="26" customFormat="false" ht="15" hidden="false" customHeight="false" outlineLevel="0" collapsed="false">
      <c r="B26" s="2" t="s">
        <v>445</v>
      </c>
      <c r="C26" s="25" t="n">
        <f aca="false">C25</f>
        <v>-1458.33333333333</v>
      </c>
      <c r="D26" s="25" t="n">
        <f aca="false">C26+D25</f>
        <v>-7583.33333333333</v>
      </c>
      <c r="E26" s="25" t="n">
        <f aca="false">D26+E25</f>
        <v>-37740.9426666667</v>
      </c>
      <c r="F26" s="25" t="n">
        <f aca="false">E26+F25</f>
        <v>-93007.052</v>
      </c>
      <c r="G26" s="25" t="n">
        <f aca="false">F26+G25</f>
        <v>-155551.161333333</v>
      </c>
      <c r="H26" s="25" t="n">
        <f aca="false">G26+H25</f>
        <v>-220824.38328549</v>
      </c>
      <c r="I26" s="25" t="n">
        <f aca="false">H26+I25</f>
        <v>-279634.199881209</v>
      </c>
      <c r="J26" s="25" t="n">
        <f aca="false">I26+J25</f>
        <v>-332122.806038333</v>
      </c>
      <c r="K26" s="25" t="n">
        <f aca="false">J26+K25</f>
        <v>-374559.184218442</v>
      </c>
      <c r="L26" s="25" t="n">
        <f aca="false">K26+L25</f>
        <v>-412903.592149905</v>
      </c>
      <c r="M26" s="25" t="n">
        <f aca="false">L26+M25</f>
        <v>-447246.053178192</v>
      </c>
      <c r="N26" s="25" t="n">
        <f aca="false">M26+N25</f>
        <v>-477674.610135174</v>
      </c>
      <c r="O26" s="25" t="n">
        <f aca="false">N26+O25</f>
        <v>-504275.368910419</v>
      </c>
      <c r="P26" s="25" t="n">
        <f aca="false">O26+P25</f>
        <v>-527132.541063925</v>
      </c>
      <c r="Q26" s="25" t="n">
        <f aca="false">P26+Q25</f>
        <v>-546328.48550137</v>
      </c>
      <c r="R26" s="25" t="n">
        <f aca="false">Q26+R25</f>
        <v>-561943.749232508</v>
      </c>
      <c r="S26" s="25" t="n">
        <f aca="false">R26+S25</f>
        <v>-574057.107232877</v>
      </c>
      <c r="T26" s="25" t="n">
        <f aca="false">S26+T25</f>
        <v>-588057.198986538</v>
      </c>
      <c r="U26" s="25" t="n">
        <f aca="false">T26+U25</f>
        <v>-599196.315538337</v>
      </c>
      <c r="V26" s="25" t="n">
        <f aca="false">U26+V25</f>
        <v>-607537.398342714</v>
      </c>
      <c r="W26" s="25" t="n">
        <f aca="false">V26+W25</f>
        <v>-613142.004142113</v>
      </c>
      <c r="X26" s="25" t="n">
        <f aca="false">W26+X25</f>
        <v>-616070.335430644</v>
      </c>
      <c r="Y26" s="25" t="n">
        <f aca="false">X26+Y25</f>
        <v>-616381.270247545</v>
      </c>
      <c r="Z26" s="25" t="n">
        <f aca="false">Y26+Z25</f>
        <v>-614132.391315193</v>
      </c>
      <c r="AA26" s="25" t="n">
        <f aca="false">Z26+AA25</f>
        <v>-609380.01453607</v>
      </c>
      <c r="AB26" s="25" t="n">
        <f aca="false">AA26+AB25</f>
        <v>-604262.55019614</v>
      </c>
      <c r="AC26" s="25" t="n">
        <f aca="false">AB26+AC25</f>
        <v>-596740.547582851</v>
      </c>
      <c r="AD26" s="25" t="n">
        <f aca="false">AC26+AD25</f>
        <v>-586866.686920161</v>
      </c>
      <c r="AE26" s="25" t="n">
        <f aca="false">AD26+AE25</f>
        <v>-574692.489467102</v>
      </c>
      <c r="AF26" s="25" t="n">
        <f aca="false">AE26+AF25</f>
        <v>-560239.588032697</v>
      </c>
      <c r="AG26" s="25" t="n">
        <f aca="false">AF26+AG25</f>
        <v>-544045.791688012</v>
      </c>
      <c r="AH26" s="25" t="n">
        <f aca="false">AG26+AH25</f>
        <v>-526149.180503019</v>
      </c>
      <c r="AI26" s="25" t="n">
        <f aca="false">AH26+AI25</f>
        <v>-506586.996786148</v>
      </c>
      <c r="AJ26" s="25" t="n">
        <f aca="false">AI26+AJ25</f>
        <v>-485882.260277089</v>
      </c>
      <c r="AK26" s="25" t="n">
        <f aca="false">AJ26+AK25</f>
        <v>-464853.558900689</v>
      </c>
      <c r="AL26" s="25" t="n">
        <f aca="false">AK26+AL25</f>
        <v>-443814.874885399</v>
      </c>
      <c r="AM26" s="25" t="n">
        <f aca="false">AL26+AM25</f>
        <v>-422766.208231221</v>
      </c>
      <c r="AN26" s="25" t="n">
        <f aca="false">AM26+AN25</f>
        <v>-401707.558938154</v>
      </c>
      <c r="AO26" s="25" t="n">
        <f aca="false">AN26+AO25</f>
        <v>-388102.56916306</v>
      </c>
      <c r="AP26" s="25" t="n">
        <f aca="false">AO26+AP25</f>
        <v>-374447.790657575</v>
      </c>
      <c r="AQ26" s="25" t="n">
        <f aca="false">AP26+AQ25</f>
        <v>-360743.223421697</v>
      </c>
      <c r="AR26" s="25" t="n">
        <f aca="false">AQ26+AR25</f>
        <v>-346452.65089499</v>
      </c>
      <c r="AS26" s="25" t="n">
        <f aca="false">AR26+AS25</f>
        <v>-332112.28963789</v>
      </c>
      <c r="AT26" s="25" t="n">
        <f aca="false">AS26+AT25</f>
        <v>-317722.139650398</v>
      </c>
      <c r="AU26" s="25" t="n">
        <f aca="false">AT26+AU25</f>
        <v>-303282.200932514</v>
      </c>
      <c r="AV26" s="25" t="n">
        <f aca="false">AU26+AV25</f>
        <v>-288792.473484238</v>
      </c>
      <c r="AW26" s="25" t="n">
        <f aca="false">AV26+AW25</f>
        <v>-274252.95730557</v>
      </c>
      <c r="AX26" s="25" t="n">
        <f aca="false">AW26+AX25</f>
        <v>-259663.65239651</v>
      </c>
      <c r="AY26" s="25" t="n">
        <f aca="false">AX26+AY25</f>
        <v>-245024.558757057</v>
      </c>
      <c r="AZ26" s="25" t="n">
        <f aca="false">AY26+AZ25</f>
        <v>-230335.676387212</v>
      </c>
      <c r="BA26" s="25" t="n">
        <f aca="false">AZ26+BA25</f>
        <v>-215597.005286976</v>
      </c>
      <c r="BB26" s="25" t="n">
        <f aca="false">BA26+BB25</f>
        <v>-200808.545456347</v>
      </c>
      <c r="BC26" s="25" t="n">
        <f aca="false">BB26+BC25</f>
        <v>-185970.296895325</v>
      </c>
      <c r="BD26" s="25" t="n">
        <f aca="false">BC26+BD25</f>
        <v>-170393.943243855</v>
      </c>
      <c r="BE26" s="25" t="n">
        <f aca="false">BD26+BE25</f>
        <v>-154767.800861992</v>
      </c>
      <c r="BF26" s="25" t="n">
        <f aca="false">BE26+BF25</f>
        <v>-139091.869749738</v>
      </c>
      <c r="BG26" s="25" t="n">
        <f aca="false">BF26+BG25</f>
        <v>-123366.149907091</v>
      </c>
      <c r="BH26" s="25" t="n">
        <f aca="false">BG26+BH25</f>
        <v>-107590.641334052</v>
      </c>
      <c r="BI26" s="25" t="n">
        <f aca="false">BH26+BI25</f>
        <v>-91765.3440306208</v>
      </c>
      <c r="BJ26" s="25" t="n">
        <f aca="false">BI26+BJ25</f>
        <v>-75890.2579967976</v>
      </c>
      <c r="BK26" s="25" t="n">
        <f aca="false">BJ26+BK25</f>
        <v>-59965.3832325821</v>
      </c>
      <c r="BL26" s="25" t="n">
        <f aca="false">BK26+BL25</f>
        <v>-48157.3864046412</v>
      </c>
      <c r="BM26" s="25" t="n">
        <f aca="false">BL26+BM25</f>
        <v>-36277.0314018636</v>
      </c>
      <c r="BN26" s="25" t="n">
        <f aca="false">BM26+BN25</f>
        <v>-24324.3182242495</v>
      </c>
      <c r="BO26" s="25" t="n">
        <f aca="false">BN26+BO25</f>
        <v>-12299.2468717987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6"/>
    <col collapsed="false" customWidth="true" hidden="false" outlineLevel="0" max="7" min="3" style="0" width="15"/>
  </cols>
  <sheetData>
    <row r="1" customFormat="false" ht="17.35" hidden="false" customHeight="false" outlineLevel="0" collapsed="false">
      <c r="B1" s="1" t="s">
        <v>446</v>
      </c>
    </row>
    <row r="2" customFormat="false" ht="15" hidden="false" customHeight="false" outlineLevel="0" collapsed="false">
      <c r="B2" s="3" t="s">
        <v>447</v>
      </c>
    </row>
    <row r="4" customFormat="false" ht="15" hidden="false" customHeight="false" outlineLevel="0" collapsed="false">
      <c r="B4" s="30" t="s">
        <v>337</v>
      </c>
      <c r="C4" s="31" t="n">
        <v>1</v>
      </c>
      <c r="D4" s="31" t="n">
        <v>2</v>
      </c>
      <c r="E4" s="31" t="n">
        <v>3</v>
      </c>
      <c r="F4" s="31" t="n">
        <v>4</v>
      </c>
      <c r="G4" s="31" t="n">
        <v>5</v>
      </c>
    </row>
    <row r="5" customFormat="false" ht="15" hidden="false" customHeight="false" outlineLevel="0" collapsed="false">
      <c r="B5" s="2" t="s">
        <v>448</v>
      </c>
      <c r="C5" s="33" t="n">
        <f aca="false">SUMIF(Um_Jahr,C$4,Um_Gesamt)</f>
        <v>622361.175186264</v>
      </c>
      <c r="D5" s="33" t="n">
        <f aca="false">SUMIF(Um_Jahr,D$4,Um_Gesamt)</f>
        <v>1101585.00474663</v>
      </c>
      <c r="E5" s="33" t="n">
        <f aca="false">SUMIF(Um_Jahr,E$4,Um_Gesamt)</f>
        <v>1375455.93449078</v>
      </c>
      <c r="F5" s="33" t="n">
        <f aca="false">SUMIF(Um_Jahr,F$4,Um_Gesamt)</f>
        <v>1413073.93613445</v>
      </c>
      <c r="G5" s="33" t="n">
        <f aca="false">SUMIF(Um_Jahr,G$4,Um_Gesamt)</f>
        <v>1436224.32242017</v>
      </c>
    </row>
    <row r="6" customFormat="false" ht="15" hidden="false" customHeight="false" outlineLevel="0" collapsed="false">
      <c r="B6" s="2" t="s">
        <v>449</v>
      </c>
      <c r="C6" s="33" t="n">
        <f aca="false">SUMIF(Ko_Jahr,C$4,Ko_WE)</f>
        <v>11589.7014815749</v>
      </c>
      <c r="D6" s="33" t="n">
        <f aca="false">SUMIF(Ko_Jahr,D$4,Ko_WE)</f>
        <v>21232.1770508812</v>
      </c>
      <c r="E6" s="33" t="n">
        <f aca="false">SUMIF(Ko_Jahr,E$4,Ko_WE)</f>
        <v>26296.9678797227</v>
      </c>
      <c r="F6" s="33" t="n">
        <f aca="false">SUMIF(Ko_Jahr,F$4,Ko_WE)</f>
        <v>26621.8487394958</v>
      </c>
      <c r="G6" s="33" t="n">
        <f aca="false">SUMIF(Ko_Jahr,G$4,Ko_WE)</f>
        <v>26621.8487394958</v>
      </c>
    </row>
    <row r="7" customFormat="false" ht="15" hidden="false" customHeight="false" outlineLevel="0" collapsed="false">
      <c r="B7" s="2" t="s">
        <v>450</v>
      </c>
      <c r="C7" s="25" t="n">
        <f aca="false">C5-C6</f>
        <v>610771.473704689</v>
      </c>
      <c r="D7" s="25" t="n">
        <f aca="false">D5-D6</f>
        <v>1080352.82769575</v>
      </c>
      <c r="E7" s="25" t="n">
        <f aca="false">E5-E6</f>
        <v>1349158.96661106</v>
      </c>
      <c r="F7" s="25" t="n">
        <f aca="false">F5-F6</f>
        <v>1386452.08739496</v>
      </c>
      <c r="G7" s="25" t="n">
        <f aca="false">G5-G6</f>
        <v>1409602.47368067</v>
      </c>
    </row>
    <row r="8" customFormat="false" ht="15" hidden="false" customHeight="false" outlineLevel="0" collapsed="false">
      <c r="B8" s="2" t="s">
        <v>451</v>
      </c>
      <c r="C8" s="33" t="n">
        <f aca="false">SUMIF(Ko_Jahr,C$4,Ko_Personal)</f>
        <v>371144.388</v>
      </c>
      <c r="D8" s="33" t="n">
        <f aca="false">SUMIF(Ko_Jahr,D$4,Ko_Personal)</f>
        <v>395715.8952</v>
      </c>
      <c r="E8" s="33" t="n">
        <f aca="false">SUMIF(Ko_Jahr,E$4,Ko_Personal)</f>
        <v>405608.79258</v>
      </c>
      <c r="F8" s="33" t="n">
        <f aca="false">SUMIF(Ko_Jahr,F$4,Ko_Personal)</f>
        <v>415749.0123945</v>
      </c>
      <c r="G8" s="33" t="n">
        <f aca="false">SUMIF(Ko_Jahr,G$4,Ko_Personal)</f>
        <v>426142.737704362</v>
      </c>
    </row>
    <row r="9" customFormat="false" ht="15" hidden="false" customHeight="false" outlineLevel="0" collapsed="false">
      <c r="B9" s="2" t="s">
        <v>452</v>
      </c>
      <c r="C9" s="33" t="n">
        <f aca="false">SUMIF(Ko_Jahr,C$4,Ko_Miete)+SUMIF(Ko_Jahr,C$4,Ko_BK)+SUMIF(Ko_Jahr,C$4,Ko_Energie)+SUMIF(Ko_Jahr,C$4,Ko_Instand)</f>
        <v>393104.6</v>
      </c>
      <c r="D9" s="33" t="n">
        <f aca="false">SUMIF(Ko_Jahr,D$4,Ko_Miete)+SUMIF(Ko_Jahr,D$4,Ko_BK)+SUMIF(Ko_Jahr,D$4,Ko_Energie)+SUMIF(Ko_Jahr,D$4,Ko_Instand)</f>
        <v>355651.016</v>
      </c>
      <c r="E9" s="33" t="n">
        <f aca="false">SUMIF(Ko_Jahr,E$4,Ko_Miete)+SUMIF(Ko_Jahr,E$4,Ko_BK)+SUMIF(Ko_Jahr,E$4,Ko_Energie)+SUMIF(Ko_Jahr,E$4,Ko_Instand)</f>
        <v>359761.42832</v>
      </c>
      <c r="F9" s="33" t="n">
        <f aca="false">SUMIF(Ko_Jahr,F$4,Ko_Miete)+SUMIF(Ko_Jahr,F$4,Ko_BK)+SUMIF(Ko_Jahr,F$4,Ko_Energie)+SUMIF(Ko_Jahr,F$4,Ko_Instand)</f>
        <v>363954.0488864</v>
      </c>
      <c r="G9" s="33" t="n">
        <f aca="false">SUMIF(Ko_Jahr,G$4,Ko_Miete)+SUMIF(Ko_Jahr,G$4,Ko_BK)+SUMIF(Ko_Jahr,G$4,Ko_Energie)+SUMIF(Ko_Jahr,G$4,Ko_Instand)</f>
        <v>368230.521864128</v>
      </c>
    </row>
    <row r="10" customFormat="false" ht="15" hidden="false" customHeight="false" outlineLevel="0" collapsed="false">
      <c r="B10" s="2" t="s">
        <v>453</v>
      </c>
      <c r="C10" s="33" t="n">
        <f aca="false">SUMIF(Ko_Jahr,C$4,Ko_Marketing)</f>
        <v>95000</v>
      </c>
      <c r="D10" s="33" t="n">
        <f aca="false">SUMIF(Ko_Jahr,D$4,Ko_Marketing)</f>
        <v>42000</v>
      </c>
      <c r="E10" s="33" t="n">
        <f aca="false">SUMIF(Ko_Jahr,E$4,Ko_Marketing)</f>
        <v>42000</v>
      </c>
      <c r="F10" s="33" t="n">
        <f aca="false">SUMIF(Ko_Jahr,F$4,Ko_Marketing)</f>
        <v>42000</v>
      </c>
      <c r="G10" s="33" t="n">
        <f aca="false">SUMIF(Ko_Jahr,G$4,Ko_Marketing)</f>
        <v>42000</v>
      </c>
    </row>
    <row r="11" customFormat="false" ht="15" hidden="false" customHeight="false" outlineLevel="0" collapsed="false">
      <c r="B11" s="2" t="s">
        <v>454</v>
      </c>
      <c r="C11" s="25" t="n">
        <f aca="false">SUMIF(Ko_Jahr,C$4,Ko_Gesamt)-C6-C8-C9-C10+C12</f>
        <v>127814.619604233</v>
      </c>
      <c r="D11" s="25" t="n">
        <f aca="false">SUMIF(Ko_Jahr,D$4,Ko_Gesamt)-D6-D8-D9-D10+D12</f>
        <v>120402.549229979</v>
      </c>
      <c r="E11" s="25" t="n">
        <f aca="false">SUMIF(Ko_Jahr,E$4,Ko_Gesamt)-E6-E8-E9-E10+E12</f>
        <v>122760.680302908</v>
      </c>
      <c r="F11" s="25" t="n">
        <f aca="false">SUMIF(Ko_Jahr,F$4,Ko_Gesamt)-F6-F8-F9-F10+F12</f>
        <v>123102.823872</v>
      </c>
      <c r="G11" s="25" t="n">
        <f aca="false">SUMIF(Ko_Jahr,G$4,Ko_Gesamt)-G6-G8-G9-G10+G12</f>
        <v>123323.21554944</v>
      </c>
    </row>
    <row r="12" customFormat="false" ht="15" hidden="false" customHeight="false" outlineLevel="0" collapsed="false">
      <c r="B12" s="2" t="s">
        <v>455</v>
      </c>
      <c r="C12" s="33" t="n">
        <f aca="false">Aufwand_Gruendung</f>
        <v>7500</v>
      </c>
      <c r="D12" s="25" t="n">
        <v>0</v>
      </c>
      <c r="E12" s="25" t="n">
        <v>0</v>
      </c>
      <c r="F12" s="25" t="n">
        <v>0</v>
      </c>
      <c r="G12" s="25" t="n">
        <v>0</v>
      </c>
    </row>
    <row r="13" customFormat="false" ht="15" hidden="false" customHeight="false" outlineLevel="0" collapsed="false">
      <c r="B13" s="8" t="s">
        <v>456</v>
      </c>
      <c r="C13" s="35" t="n">
        <f aca="false">C7-C8-C9-C10-C11</f>
        <v>-376292.133899544</v>
      </c>
      <c r="D13" s="35" t="n">
        <f aca="false">D7-D8-D9-D10-D11</f>
        <v>166583.367265775</v>
      </c>
      <c r="E13" s="35" t="n">
        <f aca="false">E7-E8-E9-E10-E11</f>
        <v>419028.06540815</v>
      </c>
      <c r="F13" s="35" t="n">
        <f aca="false">F7-F8-F9-F10-F11</f>
        <v>441646.202242058</v>
      </c>
      <c r="G13" s="35" t="n">
        <f aca="false">G7-G8-G9-G10-G11</f>
        <v>449905.998562743</v>
      </c>
    </row>
    <row r="14" customFormat="false" ht="15" hidden="false" customHeight="false" outlineLevel="0" collapsed="false">
      <c r="B14" s="2" t="s">
        <v>457</v>
      </c>
      <c r="C14" s="33" t="n">
        <f aca="false">SUMPRODUCT((Inv_AfaJahre&gt;=C$4)*Inv_AfaJeJahr)</f>
        <v>200695.2</v>
      </c>
      <c r="D14" s="33" t="n">
        <f aca="false">SUMPRODUCT((Inv_AfaJahre&gt;=D$4)*Inv_AfaJeJahr)</f>
        <v>200695.2</v>
      </c>
      <c r="E14" s="33" t="n">
        <f aca="false">SUMPRODUCT((Inv_AfaJahre&gt;=E$4)*Inv_AfaJeJahr)</f>
        <v>200695.2</v>
      </c>
      <c r="F14" s="33" t="n">
        <f aca="false">SUMPRODUCT((Inv_AfaJahre&gt;=F$4)*Inv_AfaJeJahr)</f>
        <v>200695.2</v>
      </c>
      <c r="G14" s="33" t="n">
        <f aca="false">SUMPRODUCT((Inv_AfaJahre&gt;=G$4)*Inv_AfaJeJahr)</f>
        <v>200695.2</v>
      </c>
    </row>
    <row r="15" customFormat="false" ht="15" hidden="false" customHeight="false" outlineLevel="0" collapsed="false">
      <c r="B15" s="2" t="s">
        <v>458</v>
      </c>
      <c r="C15" s="25" t="n">
        <f aca="false">C13-C14</f>
        <v>-576987.333899544</v>
      </c>
      <c r="D15" s="25" t="n">
        <f aca="false">D13-D14</f>
        <v>-34111.8327342253</v>
      </c>
      <c r="E15" s="25" t="n">
        <f aca="false">E13-E14</f>
        <v>218332.86540815</v>
      </c>
      <c r="F15" s="25" t="n">
        <f aca="false">F13-F14</f>
        <v>240951.002242058</v>
      </c>
      <c r="G15" s="25" t="n">
        <f aca="false">G13-G14</f>
        <v>249210.798562743</v>
      </c>
    </row>
    <row r="16" customFormat="false" ht="15" hidden="false" customHeight="false" outlineLevel="0" collapsed="false">
      <c r="B16" s="2" t="s">
        <v>459</v>
      </c>
      <c r="C16" s="33" t="n">
        <f aca="false">SUMIF(Fz_Jahr,C$4,Fz_Zins)</f>
        <v>205264.973333333</v>
      </c>
      <c r="D16" s="33" t="n">
        <f aca="false">SUMIF(Fz_Jahr,D$4,Fz_Zins)</f>
        <v>158885.416166667</v>
      </c>
      <c r="E16" s="33" t="n">
        <f aca="false">SUMIF(Fz_Jahr,E$4,Fz_Zins)</f>
        <v>157687.872892157</v>
      </c>
      <c r="F16" s="33" t="n">
        <f aca="false">SUMIF(Fz_Jahr,F$4,Fz_Zins)</f>
        <v>152309.569833333</v>
      </c>
      <c r="G16" s="33" t="n">
        <f aca="false">SUMIF(Fz_Jahr,G$4,Fz_Zins)</f>
        <v>145004.575990196</v>
      </c>
    </row>
    <row r="17" customFormat="false" ht="15" hidden="false" customHeight="false" outlineLevel="0" collapsed="false">
      <c r="B17" s="2" t="s">
        <v>460</v>
      </c>
      <c r="C17" s="25" t="n">
        <f aca="false">C15-C16</f>
        <v>-782252.307232877</v>
      </c>
      <c r="D17" s="25" t="n">
        <f aca="false">D15-D16</f>
        <v>-192997.248900892</v>
      </c>
      <c r="E17" s="25" t="n">
        <f aca="false">E15-E16</f>
        <v>60644.9925159935</v>
      </c>
      <c r="F17" s="25" t="n">
        <f aca="false">F15-F16</f>
        <v>88641.4324087249</v>
      </c>
      <c r="G17" s="25" t="n">
        <f aca="false">G15-G16</f>
        <v>104206.222572546</v>
      </c>
    </row>
    <row r="18" customFormat="false" ht="15" hidden="false" customHeight="false" outlineLevel="0" collapsed="false">
      <c r="B18" s="2" t="s">
        <v>461</v>
      </c>
      <c r="C18" s="25" t="n">
        <v>0</v>
      </c>
      <c r="D18" s="25" t="n">
        <f aca="false">C18-MIN(C18,MAX(C17,0))+MAX(0,-C17)</f>
        <v>782252.307232877</v>
      </c>
      <c r="E18" s="25" t="n">
        <f aca="false">D18-MIN(D18,MAX(D17,0))+MAX(0,-D17)</f>
        <v>975249.556133769</v>
      </c>
      <c r="F18" s="25" t="n">
        <f aca="false">E18-MIN(E18,MAX(E17,0))+MAX(0,-E17)</f>
        <v>914604.563617776</v>
      </c>
      <c r="G18" s="25" t="n">
        <f aca="false">F18-MIN(F18,MAX(F17,0))+MAX(0,-F17)</f>
        <v>825963.131209051</v>
      </c>
    </row>
    <row r="19" customFormat="false" ht="15" hidden="false" customHeight="false" outlineLevel="0" collapsed="false">
      <c r="B19" s="2" t="s">
        <v>462</v>
      </c>
      <c r="C19" s="25" t="n">
        <f aca="false">MAX(0,C17-C18)</f>
        <v>0</v>
      </c>
      <c r="D19" s="25" t="n">
        <f aca="false">MAX(0,D17-D18)</f>
        <v>0</v>
      </c>
      <c r="E19" s="25" t="n">
        <f aca="false">MAX(0,E17-E18)</f>
        <v>0</v>
      </c>
      <c r="F19" s="25" t="n">
        <f aca="false">MAX(0,F17-F18)</f>
        <v>0</v>
      </c>
      <c r="G19" s="25" t="n">
        <f aca="false">MAX(0,G17-G18)</f>
        <v>0</v>
      </c>
    </row>
    <row r="20" customFormat="false" ht="15" hidden="false" customHeight="false" outlineLevel="0" collapsed="false">
      <c r="B20" s="2" t="s">
        <v>463</v>
      </c>
      <c r="C20" s="25" t="n">
        <f aca="false">C19*Steuersatz</f>
        <v>0</v>
      </c>
      <c r="D20" s="25" t="n">
        <f aca="false">D19*Steuersatz</f>
        <v>0</v>
      </c>
      <c r="E20" s="25" t="n">
        <f aca="false">E19*Steuersatz</f>
        <v>0</v>
      </c>
      <c r="F20" s="25" t="n">
        <f aca="false">F19*Steuersatz</f>
        <v>0</v>
      </c>
      <c r="G20" s="25" t="n">
        <f aca="false">G19*Steuersatz</f>
        <v>0</v>
      </c>
    </row>
    <row r="21" customFormat="false" ht="15" hidden="false" customHeight="false" outlineLevel="0" collapsed="false">
      <c r="B21" s="8" t="s">
        <v>464</v>
      </c>
      <c r="C21" s="35" t="n">
        <f aca="false">C17-C20</f>
        <v>-782252.307232877</v>
      </c>
      <c r="D21" s="35" t="n">
        <f aca="false">D17-D20</f>
        <v>-192997.248900892</v>
      </c>
      <c r="E21" s="35" t="n">
        <f aca="false">E17-E20</f>
        <v>60644.9925159935</v>
      </c>
      <c r="F21" s="35" t="n">
        <f aca="false">F17-F20</f>
        <v>88641.4324087249</v>
      </c>
      <c r="G21" s="35" t="n">
        <f aca="false">G17-G20</f>
        <v>104206.222572546</v>
      </c>
    </row>
    <row r="22" customFormat="false" ht="15" hidden="false" customHeight="false" outlineLevel="0" collapsed="false">
      <c r="B22" s="2" t="s">
        <v>415</v>
      </c>
      <c r="C22" s="33" t="n">
        <f aca="false">SUMIF(Fz_Jahr,C$4,Fz_Tilg)</f>
        <v>0</v>
      </c>
      <c r="D22" s="33" t="n">
        <f aca="false">SUMIF(Fz_Jahr,D$4,Fz_Tilg)</f>
        <v>8333.33333333333</v>
      </c>
      <c r="E22" s="33" t="n">
        <f aca="false">SUMIF(Fz_Jahr,E$4,Fz_Tilg)</f>
        <v>47390.9264705882</v>
      </c>
      <c r="F22" s="33" t="n">
        <f aca="false">SUMIF(Fz_Jahr,F$4,Fz_Tilg)</f>
        <v>114563.705882353</v>
      </c>
      <c r="G22" s="33" t="n">
        <f aca="false">SUMIF(Fz_Jahr,G$4,Fz_Tilg)</f>
        <v>131230.37254902</v>
      </c>
    </row>
    <row r="23" customFormat="false" ht="15" hidden="false" customHeight="false" outlineLevel="0" collapsed="false">
      <c r="B23" s="2" t="s">
        <v>421</v>
      </c>
      <c r="C23" s="25" t="n">
        <f aca="false">C16+C22</f>
        <v>205264.973333333</v>
      </c>
      <c r="D23" s="25" t="n">
        <f aca="false">D16+D22</f>
        <v>167218.7495</v>
      </c>
      <c r="E23" s="25" t="n">
        <f aca="false">E16+E22</f>
        <v>205078.799362745</v>
      </c>
      <c r="F23" s="25" t="n">
        <f aca="false">F16+F22</f>
        <v>266873.275715686</v>
      </c>
      <c r="G23" s="25" t="n">
        <f aca="false">G16+G22</f>
        <v>276234.948539216</v>
      </c>
    </row>
    <row r="24" customFormat="false" ht="15" hidden="false" customHeight="false" outlineLevel="0" collapsed="false">
      <c r="B24" s="8" t="s">
        <v>465</v>
      </c>
      <c r="C24" s="40" t="n">
        <f aca="false">IF(C23&gt;0,(C13-C20)/C23,0)</f>
        <v>-1.83320187457641</v>
      </c>
      <c r="D24" s="40" t="n">
        <f aca="false">IF(D23&gt;0,(D13-D20)/D23,0)</f>
        <v>0.996200293112315</v>
      </c>
      <c r="E24" s="40" t="n">
        <f aca="false">IF(E23&gt;0,(E13-E20)/E23,0)</f>
        <v>2.0432539429245</v>
      </c>
      <c r="F24" s="40" t="n">
        <f aca="false">IF(F23&gt;0,(F13-F20)/F23,0)</f>
        <v>1.65489107539028</v>
      </c>
      <c r="G24" s="40" t="n">
        <f aca="false">IF(G23&gt;0,(G13-G20)/G23,0)</f>
        <v>1.62870773934266</v>
      </c>
    </row>
    <row r="25" customFormat="false" ht="15" hidden="false" customHeight="false" outlineLevel="0" collapsed="false">
      <c r="B25" s="2" t="s">
        <v>466</v>
      </c>
      <c r="C25" s="25" t="n">
        <f aca="false">C13-C20-C23</f>
        <v>-581557.107232877</v>
      </c>
      <c r="D25" s="25" t="n">
        <f aca="false">D13-D20-D23</f>
        <v>-635.382234225253</v>
      </c>
      <c r="E25" s="25" t="n">
        <f aca="false">E13-E20-E23</f>
        <v>213949.266045405</v>
      </c>
      <c r="F25" s="25" t="n">
        <f aca="false">F13-F20-F23</f>
        <v>174772.926526372</v>
      </c>
      <c r="G25" s="25" t="n">
        <f aca="false">G13-G20-G23</f>
        <v>173671.050023527</v>
      </c>
    </row>
    <row r="26" customFormat="false" ht="15" hidden="false" customHeight="false" outlineLevel="0" collapsed="false">
      <c r="B26" s="2" t="s">
        <v>467</v>
      </c>
      <c r="C26" s="33" t="n">
        <f aca="false">INDEX(Mg_Ende,C$4*12)</f>
        <v>1429.02057230567</v>
      </c>
      <c r="D26" s="33" t="n">
        <f aca="false">INDEX(Mg_Ende,D$4*12)</f>
        <v>2052.66533537268</v>
      </c>
      <c r="E26" s="33" t="n">
        <f aca="false">INDEX(Mg_Ende,E$4*12)</f>
        <v>2200</v>
      </c>
      <c r="F26" s="33" t="n">
        <f aca="false">INDEX(Mg_Ende,F$4*12)</f>
        <v>2200</v>
      </c>
      <c r="G26" s="33" t="n">
        <f aca="false">INDEX(Mg_Ende,G$4*12)</f>
        <v>2200</v>
      </c>
    </row>
    <row r="27" customFormat="false" ht="15" hidden="false" customHeight="false" outlineLevel="0" collapsed="false">
      <c r="B27" s="2" t="s">
        <v>468</v>
      </c>
      <c r="C27" s="37" t="n">
        <f aca="false">IF(C5&gt;0,C13/C5,0)</f>
        <v>-0.604620193068639</v>
      </c>
      <c r="D27" s="37" t="n">
        <f aca="false">IF(D5&gt;0,D13/D5,0)</f>
        <v>0.151221527660581</v>
      </c>
      <c r="E27" s="37" t="n">
        <f aca="false">IF(E5&gt;0,E13/E5,0)</f>
        <v>0.304646666534819</v>
      </c>
      <c r="F27" s="37" t="n">
        <f aca="false">IF(F5&gt;0,F13/F5,0)</f>
        <v>0.312542883247997</v>
      </c>
      <c r="G27" s="37" t="n">
        <f aca="false">IF(G5&gt;0,G13/G5,0)</f>
        <v>0.313256078134515</v>
      </c>
    </row>
    <row r="28" customFormat="false" ht="15" hidden="false" customHeight="false" outlineLevel="0" collapsed="false">
      <c r="B28" s="2" t="s">
        <v>469</v>
      </c>
      <c r="C28" s="37" t="n">
        <f aca="false">IF(C5&gt;0,C8/C5,0)</f>
        <v>0.59634887714344</v>
      </c>
      <c r="D28" s="37" t="n">
        <f aca="false">IF(D5&gt;0,D8/D5,0)</f>
        <v>0.359224112070239</v>
      </c>
      <c r="E28" s="37" t="n">
        <f aca="false">IF(E5&gt;0,E8/E5,0)</f>
        <v>0.294890430444916</v>
      </c>
      <c r="F28" s="37" t="n">
        <f aca="false">IF(F5&gt;0,F8/F5,0)</f>
        <v>0.294216036233607</v>
      </c>
      <c r="G28" s="37" t="n">
        <f aca="false">IF(G5&gt;0,G8/G5,0)</f>
        <v>0.296710430990525</v>
      </c>
    </row>
    <row r="29" customFormat="false" ht="15" hidden="false" customHeight="false" outlineLevel="0" collapsed="false">
      <c r="B29" s="2" t="s">
        <v>470</v>
      </c>
      <c r="C29" s="37" t="n">
        <f aca="false">IF(C5&gt;0,C9/C5,0)</f>
        <v>0.631634195179912</v>
      </c>
      <c r="D29" s="37" t="n">
        <f aca="false">IF(D5&gt;0,D9/D5,0)</f>
        <v>0.322853900940491</v>
      </c>
      <c r="E29" s="37" t="n">
        <f aca="false">IF(E5&gt;0,E9/E5,0)</f>
        <v>0.261557945477323</v>
      </c>
      <c r="F29" s="37" t="n">
        <f aca="false">IF(F5&gt;0,F9/F5,0)</f>
        <v>0.257561929053775</v>
      </c>
      <c r="G29" s="37" t="n">
        <f aca="false">IF(G5&gt;0,G9/G5,0)</f>
        <v>0.256387888796944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0"/>
    <col collapsed="false" customWidth="true" hidden="false" outlineLevel="0" max="3" min="3" style="0" width="18"/>
    <col collapsed="false" customWidth="true" hidden="false" outlineLevel="0" max="4" min="4" style="0" width="50"/>
  </cols>
  <sheetData>
    <row r="1" customFormat="false" ht="17.35" hidden="false" customHeight="false" outlineLevel="0" collapsed="false">
      <c r="B1" s="1" t="s">
        <v>29</v>
      </c>
    </row>
    <row r="3" customFormat="false" ht="15" hidden="false" customHeight="false" outlineLevel="0" collapsed="false">
      <c r="B3" s="30" t="s">
        <v>471</v>
      </c>
      <c r="C3" s="30" t="s">
        <v>472</v>
      </c>
      <c r="D3" s="30" t="s">
        <v>266</v>
      </c>
    </row>
    <row r="4" customFormat="false" ht="15" hidden="false" customHeight="false" outlineLevel="0" collapsed="false">
      <c r="B4" s="2" t="s">
        <v>330</v>
      </c>
      <c r="C4" s="25" t="n">
        <f aca="false">Kapitalbedarf</f>
        <v>2622583</v>
      </c>
      <c r="D4" s="3"/>
    </row>
    <row r="5" customFormat="false" ht="15" hidden="false" customHeight="false" outlineLevel="0" collapsed="false">
      <c r="B5" s="2" t="s">
        <v>473</v>
      </c>
      <c r="C5" s="25" t="n">
        <f aca="false">Inv_Summe</f>
        <v>1912583</v>
      </c>
      <c r="D5" s="3"/>
    </row>
    <row r="6" customFormat="false" ht="15" hidden="false" customHeight="false" outlineLevel="0" collapsed="false">
      <c r="B6" s="2" t="s">
        <v>474</v>
      </c>
      <c r="C6" s="25" t="n">
        <f aca="false">Reserve</f>
        <v>710000</v>
      </c>
      <c r="D6" s="3" t="s">
        <v>475</v>
      </c>
    </row>
    <row r="7" customFormat="false" ht="15" hidden="false" customHeight="false" outlineLevel="0" collapsed="false">
      <c r="B7" s="2" t="s">
        <v>476</v>
      </c>
      <c r="C7" s="25" t="n">
        <f aca="true">MAX(0,-MIN(OFFSET(Lq_BetriebKum,0,0,1,Vorlauf+24)))*(1+Puffer_Pct)</f>
        <v>708838.460784677</v>
      </c>
      <c r="D7" s="3" t="s">
        <v>477</v>
      </c>
    </row>
    <row r="8" customFormat="false" ht="15" hidden="false" customHeight="false" outlineLevel="0" collapsed="false">
      <c r="B8" s="2" t="s">
        <v>478</v>
      </c>
      <c r="C8" s="41" t="str">
        <f aca="false">IF(Reserve&gt;=C7,"ja","nein – Reserve erhöhen")</f>
        <v>ja</v>
      </c>
      <c r="D8" s="3"/>
    </row>
    <row r="9" customFormat="false" ht="15" hidden="false" customHeight="false" outlineLevel="0" collapsed="false">
      <c r="B9" s="2" t="s">
        <v>479</v>
      </c>
      <c r="C9" s="25" t="n">
        <f aca="true">MAX(0,-MIN(OFFSET(Lq_BetriebKum,0,0,1,Vorlauf+36)))*(1+Puffer_Pct)</f>
        <v>708838.460784677</v>
      </c>
      <c r="D9" s="3"/>
    </row>
    <row r="10" customFormat="false" ht="15" hidden="false" customHeight="false" outlineLevel="0" collapsed="false">
      <c r="B10" s="2" t="s">
        <v>480</v>
      </c>
      <c r="C10" s="25" t="n">
        <f aca="false">MIN(Lq_Ende)</f>
        <v>102469.971285737</v>
      </c>
      <c r="D10" s="3"/>
    </row>
    <row r="11" customFormat="false" ht="15" hidden="false" customHeight="false" outlineLevel="0" collapsed="false">
      <c r="B11" s="2" t="s">
        <v>481</v>
      </c>
      <c r="C11" s="36" t="n">
        <f aca="false">INDEX(Lq_Monat,MATCH(MIN(Lq_Ende),Lq_Ende,0))</f>
        <v>17</v>
      </c>
      <c r="D11" s="3"/>
    </row>
    <row r="12" customFormat="false" ht="15" hidden="false" customHeight="false" outlineLevel="0" collapsed="false">
      <c r="B12" s="2" t="s">
        <v>482</v>
      </c>
      <c r="C12" s="37" t="n">
        <f aca="false">EK_Quote</f>
        <v>0.152521388264928</v>
      </c>
      <c r="D12" s="3"/>
    </row>
    <row r="13" customFormat="false" ht="15" hidden="false" customHeight="false" outlineLevel="0" collapsed="false">
      <c r="B13" s="2" t="s">
        <v>483</v>
      </c>
      <c r="C13" s="25" t="n">
        <f aca="false">Deckung</f>
        <v>0</v>
      </c>
      <c r="D13" s="3" t="s">
        <v>484</v>
      </c>
    </row>
    <row r="14" customFormat="false" ht="15" hidden="false" customHeight="false" outlineLevel="0" collapsed="false">
      <c r="B14" s="2" t="s">
        <v>485</v>
      </c>
      <c r="C14" s="20" t="n">
        <f aca="false">ARPU_brutto</f>
        <v>50.15</v>
      </c>
      <c r="D14" s="3"/>
    </row>
    <row r="15" customFormat="false" ht="15" hidden="false" customHeight="false" outlineLevel="0" collapsed="false">
      <c r="B15" s="2" t="s">
        <v>486</v>
      </c>
      <c r="C15" s="20" t="n">
        <f aca="false">(ARPU_brutto+Service_Halbjahr/6+Neben_Getraenke+Neben_Wellness+Neben_PT+Neben_Merch)/(1+UST)-Neben_Getraenke/(1+UST)*Neben_WE-Payment_Pct*(ARPU_brutto+Service_Halbjahr/6)</f>
        <v>49.3975327731093</v>
      </c>
      <c r="D15" s="3"/>
    </row>
    <row r="16" customFormat="false" ht="15" hidden="false" customHeight="false" outlineLevel="0" collapsed="false">
      <c r="B16" s="2" t="s">
        <v>487</v>
      </c>
      <c r="C16" s="25" t="n">
        <f aca="false">INDEX(Ko_Gesamt,MATCH(36,Ko_Monat,0))-INDEX(Ko_WE,MATCH(36,Ko_Monat,0))-INDEX(Kosten!C15:BO15,MATCH(36,Ko_Monat,0))</f>
        <v>76527.5017416667</v>
      </c>
      <c r="D16" s="3"/>
    </row>
    <row r="17" customFormat="false" ht="15" hidden="false" customHeight="false" outlineLevel="0" collapsed="false">
      <c r="B17" s="2" t="s">
        <v>488</v>
      </c>
      <c r="C17" s="25" t="n">
        <f aca="false">INDEX(Fz_Zins,MATCH(36,Fz_Monat,0))+INDEX(Fz_Tilg,MATCH(36,Fz_Monat,0))</f>
        <v>22563.0663905229</v>
      </c>
      <c r="D17" s="3"/>
    </row>
    <row r="18" customFormat="false" ht="15" hidden="false" customHeight="false" outlineLevel="0" collapsed="false">
      <c r="B18" s="2" t="s">
        <v>489</v>
      </c>
      <c r="C18" s="25" t="n">
        <f aca="false">ROUNDUP(C16/C15,0)</f>
        <v>1550</v>
      </c>
      <c r="D18" s="3"/>
    </row>
    <row r="19" customFormat="false" ht="15" hidden="false" customHeight="false" outlineLevel="0" collapsed="false">
      <c r="B19" s="2" t="s">
        <v>490</v>
      </c>
      <c r="C19" s="25" t="n">
        <f aca="false">ROUNDUP((C16+C17)/C15,0)</f>
        <v>2006</v>
      </c>
      <c r="D19" s="3"/>
    </row>
    <row r="20" customFormat="false" ht="15" hidden="false" customHeight="false" outlineLevel="0" collapsed="false">
      <c r="B20" s="2" t="s">
        <v>491</v>
      </c>
      <c r="C20" s="36" t="n">
        <f aca="false">IFERROR(INDEX(Um_Monat,MATCH(1,Hilf_EBITDA,0)),"nicht innerhalb 60 Monaten")</f>
        <v>12</v>
      </c>
      <c r="D20" s="3"/>
    </row>
    <row r="21" customFormat="false" ht="15" hidden="false" customHeight="false" outlineLevel="0" collapsed="false">
      <c r="B21" s="2" t="s">
        <v>492</v>
      </c>
      <c r="C21" s="36" t="n">
        <f aca="false">IFERROR(INDEX(Um_Monat,MATCH(1,Hilf_CF,0)),"nicht innerhalb 60 Monaten")</f>
        <v>19</v>
      </c>
      <c r="D21" s="3"/>
    </row>
    <row r="22" customFormat="false" ht="15" hidden="false" customHeight="false" outlineLevel="0" collapsed="false">
      <c r="B22" s="2" t="s">
        <v>493</v>
      </c>
      <c r="C22" s="41" t="str">
        <f aca="false">TEXT(INDEX(Mg_Ende,12),"#,##0")&amp;" / "&amp;TEXT(INDEX(Mg_Ende,24),"#,##0")&amp;" / "&amp;TEXT(INDEX(Mg_Ende,36),"#,##0")</f>
        <v>1,429 / 2,053 / 2,200</v>
      </c>
      <c r="D22" s="3"/>
    </row>
    <row r="23" customFormat="false" ht="15" hidden="false" customHeight="false" outlineLevel="0" collapsed="false">
      <c r="B23" s="2" t="s">
        <v>494</v>
      </c>
      <c r="C23" s="25" t="n">
        <f aca="false">Umsatz!E27</f>
        <v>696.292363314155</v>
      </c>
      <c r="D23" s="3"/>
    </row>
    <row r="24" customFormat="false" ht="15" hidden="false" customHeight="false" outlineLevel="0" collapsed="false">
      <c r="B24" s="2" t="s">
        <v>495</v>
      </c>
      <c r="C24" s="23" t="n">
        <f aca="false">INDEX(Mg_Ende,36)/Flaeche</f>
        <v>1.11369849144477</v>
      </c>
      <c r="D24" s="3" t="s">
        <v>496</v>
      </c>
    </row>
    <row r="25" customFormat="false" ht="15" hidden="false" customHeight="false" outlineLevel="0" collapsed="false">
      <c r="B25" s="2" t="s">
        <v>497</v>
      </c>
      <c r="C25" s="37" t="n">
        <f aca="false">GuV!E28</f>
        <v>0.294890430444916</v>
      </c>
      <c r="D25" s="3"/>
    </row>
    <row r="26" customFormat="false" ht="15" hidden="false" customHeight="false" outlineLevel="0" collapsed="false">
      <c r="B26" s="2" t="s">
        <v>498</v>
      </c>
      <c r="C26" s="37" t="n">
        <f aca="false">GuV!E29</f>
        <v>0.261557945477323</v>
      </c>
      <c r="D26" s="3"/>
    </row>
    <row r="27" customFormat="false" ht="15" hidden="false" customHeight="false" outlineLevel="0" collapsed="false">
      <c r="B27" s="2" t="s">
        <v>499</v>
      </c>
      <c r="C27" s="37" t="n">
        <f aca="false">GuV!E27</f>
        <v>0.304646666534819</v>
      </c>
      <c r="D27" s="3"/>
    </row>
    <row r="28" customFormat="false" ht="15" hidden="false" customHeight="false" outlineLevel="0" collapsed="false">
      <c r="B28" s="2" t="s">
        <v>500</v>
      </c>
      <c r="C28" s="41" t="str">
        <f aca="false">TEXT(GuV!E24,"0.00")&amp;" / "&amp;TEXT(GuV!F24,"0.00")&amp;" / "&amp;TEXT(GuV!G24,"0.00")</f>
        <v>2.04 / 1.65 / 1.63</v>
      </c>
      <c r="D28" s="3" t="s">
        <v>501</v>
      </c>
    </row>
    <row r="29" customFormat="false" ht="15" hidden="false" customHeight="false" outlineLevel="0" collapsed="false">
      <c r="B29" s="2" t="s">
        <v>502</v>
      </c>
      <c r="C29" s="25" t="n">
        <f aca="false">INDEX(Fz_Rest,MATCH(60,Fz_Monat,0))</f>
        <v>2171064.66176471</v>
      </c>
      <c r="D29" s="3"/>
    </row>
    <row r="30" customFormat="false" ht="15" hidden="false" customHeight="false" outlineLevel="0" collapsed="false">
      <c r="B30" s="2" t="s">
        <v>503</v>
      </c>
      <c r="C30" s="25" t="n">
        <f aca="false">Inv_Vorsteuer_Gesamt</f>
        <v>340940.75</v>
      </c>
      <c r="D3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6"/>
    <col collapsed="false" customWidth="true" hidden="false" outlineLevel="0" max="8" min="3" style="0" width="18"/>
  </cols>
  <sheetData>
    <row r="1" customFormat="false" ht="17.35" hidden="false" customHeight="false" outlineLevel="0" collapsed="false">
      <c r="B1" s="1" t="s">
        <v>504</v>
      </c>
    </row>
    <row r="2" customFormat="false" ht="15" hidden="false" customHeight="false" outlineLevel="0" collapsed="false">
      <c r="B2" s="3" t="s">
        <v>505</v>
      </c>
    </row>
    <row r="4" customFormat="false" ht="15" hidden="false" customHeight="false" outlineLevel="0" collapsed="false">
      <c r="B4" s="30" t="s">
        <v>471</v>
      </c>
      <c r="C4" s="30" t="s">
        <v>506</v>
      </c>
      <c r="D4" s="30" t="s">
        <v>507</v>
      </c>
      <c r="E4" s="30" t="s">
        <v>508</v>
      </c>
    </row>
    <row r="5" customFormat="false" ht="15" hidden="false" customHeight="false" outlineLevel="0" collapsed="false">
      <c r="B5" s="2" t="s">
        <v>509</v>
      </c>
      <c r="C5" s="41" t="s">
        <v>510</v>
      </c>
      <c r="D5" s="41" t="s">
        <v>511</v>
      </c>
      <c r="E5" s="41" t="s">
        <v>512</v>
      </c>
    </row>
    <row r="6" customFormat="false" ht="15" hidden="false" customHeight="false" outlineLevel="0" collapsed="false">
      <c r="B6" s="2" t="s">
        <v>513</v>
      </c>
      <c r="C6" s="25" t="n">
        <v>959</v>
      </c>
      <c r="D6" s="25" t="n">
        <v>1429</v>
      </c>
      <c r="E6" s="25" t="n">
        <v>1763</v>
      </c>
    </row>
    <row r="7" customFormat="false" ht="15" hidden="false" customHeight="false" outlineLevel="0" collapsed="false">
      <c r="B7" s="2" t="s">
        <v>514</v>
      </c>
      <c r="C7" s="25" t="n">
        <v>1332</v>
      </c>
      <c r="D7" s="25" t="n">
        <v>2053</v>
      </c>
      <c r="E7" s="25" t="n">
        <v>2200</v>
      </c>
    </row>
    <row r="8" customFormat="false" ht="15" hidden="false" customHeight="false" outlineLevel="0" collapsed="false">
      <c r="B8" s="2" t="s">
        <v>515</v>
      </c>
      <c r="C8" s="25" t="n">
        <v>1525</v>
      </c>
      <c r="D8" s="25" t="n">
        <v>2200</v>
      </c>
      <c r="E8" s="25" t="n">
        <v>2200</v>
      </c>
    </row>
    <row r="9" customFormat="false" ht="15" hidden="false" customHeight="false" outlineLevel="0" collapsed="false">
      <c r="B9" s="2" t="s">
        <v>516</v>
      </c>
      <c r="C9" s="25" t="n">
        <v>408704</v>
      </c>
      <c r="D9" s="25" t="n">
        <v>622361</v>
      </c>
      <c r="E9" s="25" t="n">
        <v>776846</v>
      </c>
    </row>
    <row r="10" customFormat="false" ht="15" hidden="false" customHeight="false" outlineLevel="0" collapsed="false">
      <c r="B10" s="2" t="s">
        <v>517</v>
      </c>
      <c r="C10" s="25" t="n">
        <v>698004</v>
      </c>
      <c r="D10" s="25" t="n">
        <v>1101585</v>
      </c>
      <c r="E10" s="25" t="n">
        <v>1346015</v>
      </c>
    </row>
    <row r="11" customFormat="false" ht="15" hidden="false" customHeight="false" outlineLevel="0" collapsed="false">
      <c r="B11" s="2" t="s">
        <v>518</v>
      </c>
      <c r="C11" s="25" t="n">
        <v>871770</v>
      </c>
      <c r="D11" s="25" t="n">
        <v>1375456</v>
      </c>
      <c r="E11" s="25" t="n">
        <v>1431686</v>
      </c>
    </row>
    <row r="12" customFormat="false" ht="15" hidden="false" customHeight="false" outlineLevel="0" collapsed="false">
      <c r="B12" s="2" t="s">
        <v>519</v>
      </c>
      <c r="C12" s="25" t="n">
        <v>-584413</v>
      </c>
      <c r="D12" s="25" t="n">
        <v>-376292</v>
      </c>
      <c r="E12" s="25" t="n">
        <v>-225713</v>
      </c>
    </row>
    <row r="13" customFormat="false" ht="15" hidden="false" customHeight="false" outlineLevel="0" collapsed="false">
      <c r="B13" s="2" t="s">
        <v>520</v>
      </c>
      <c r="C13" s="25" t="n">
        <v>-226272</v>
      </c>
      <c r="D13" s="25" t="n">
        <v>166583</v>
      </c>
      <c r="E13" s="25" t="n">
        <v>404793</v>
      </c>
    </row>
    <row r="14" customFormat="false" ht="15" hidden="false" customHeight="false" outlineLevel="0" collapsed="false">
      <c r="B14" s="2" t="s">
        <v>521</v>
      </c>
      <c r="C14" s="25" t="n">
        <v>-71358</v>
      </c>
      <c r="D14" s="25" t="n">
        <v>419028</v>
      </c>
      <c r="E14" s="25" t="n">
        <v>474414</v>
      </c>
    </row>
    <row r="15" customFormat="false" ht="15" hidden="false" customHeight="false" outlineLevel="0" collapsed="false">
      <c r="B15" s="2" t="s">
        <v>522</v>
      </c>
      <c r="C15" s="25" t="n">
        <v>-990373</v>
      </c>
      <c r="D15" s="25" t="n">
        <v>-782252</v>
      </c>
      <c r="E15" s="25" t="n">
        <v>-631674</v>
      </c>
    </row>
    <row r="16" customFormat="false" ht="15" hidden="false" customHeight="false" outlineLevel="0" collapsed="false">
      <c r="B16" s="2" t="s">
        <v>523</v>
      </c>
      <c r="C16" s="25" t="n">
        <v>-585853</v>
      </c>
      <c r="D16" s="25" t="n">
        <v>-192997</v>
      </c>
      <c r="E16" s="25" t="n">
        <v>45212</v>
      </c>
    </row>
    <row r="17" customFormat="false" ht="15" hidden="false" customHeight="false" outlineLevel="0" collapsed="false">
      <c r="B17" s="2" t="s">
        <v>524</v>
      </c>
      <c r="C17" s="25" t="n">
        <v>-429741</v>
      </c>
      <c r="D17" s="25" t="n">
        <v>60645</v>
      </c>
      <c r="E17" s="25" t="n">
        <v>116031</v>
      </c>
    </row>
    <row r="18" customFormat="false" ht="15" hidden="false" customHeight="false" outlineLevel="0" collapsed="false">
      <c r="B18" s="2" t="s">
        <v>525</v>
      </c>
      <c r="C18" s="25" t="n">
        <v>-281845</v>
      </c>
      <c r="D18" s="25" t="n">
        <v>104206</v>
      </c>
      <c r="E18" s="25" t="n">
        <v>144428</v>
      </c>
    </row>
    <row r="19" customFormat="false" ht="15" hidden="false" customHeight="false" outlineLevel="0" collapsed="false">
      <c r="B19" s="2" t="s">
        <v>526</v>
      </c>
      <c r="C19" s="23" t="n">
        <v>-0.35</v>
      </c>
      <c r="D19" s="23" t="n">
        <v>2.04</v>
      </c>
      <c r="E19" s="23" t="n">
        <v>2.31</v>
      </c>
    </row>
    <row r="20" customFormat="false" ht="15" hidden="false" customHeight="false" outlineLevel="0" collapsed="false">
      <c r="B20" s="2" t="s">
        <v>527</v>
      </c>
      <c r="C20" s="23" t="n">
        <v>0.04</v>
      </c>
      <c r="D20" s="23" t="n">
        <v>1.65</v>
      </c>
      <c r="E20" s="23" t="n">
        <v>1.8</v>
      </c>
    </row>
    <row r="21" customFormat="false" ht="15" hidden="false" customHeight="false" outlineLevel="0" collapsed="false">
      <c r="B21" s="2" t="s">
        <v>528</v>
      </c>
      <c r="C21" s="41" t="s">
        <v>529</v>
      </c>
      <c r="D21" s="41" t="s">
        <v>530</v>
      </c>
      <c r="E21" s="41" t="s">
        <v>531</v>
      </c>
    </row>
    <row r="22" customFormat="false" ht="15" hidden="false" customHeight="false" outlineLevel="0" collapsed="false">
      <c r="B22" s="2" t="s">
        <v>532</v>
      </c>
      <c r="C22" s="25" t="n">
        <v>1352019</v>
      </c>
      <c r="D22" s="25" t="n">
        <v>708838</v>
      </c>
      <c r="E22" s="25" t="n">
        <v>496997</v>
      </c>
    </row>
    <row r="23" customFormat="false" ht="15" hidden="false" customHeight="false" outlineLevel="0" collapsed="false">
      <c r="B23" s="2" t="s">
        <v>533</v>
      </c>
      <c r="C23" s="36" t="n">
        <v>41</v>
      </c>
      <c r="D23" s="36" t="n">
        <v>12</v>
      </c>
      <c r="E23" s="36" t="n">
        <v>8</v>
      </c>
    </row>
    <row r="24" customFormat="false" ht="15" hidden="false" customHeight="false" outlineLevel="0" collapsed="false">
      <c r="B24" s="2" t="s">
        <v>534</v>
      </c>
      <c r="C24" s="36" t="s">
        <v>535</v>
      </c>
      <c r="D24" s="36" t="n">
        <v>19</v>
      </c>
      <c r="E24" s="36" t="n">
        <v>11</v>
      </c>
    </row>
    <row r="25" customFormat="false" ht="15" hidden="false" customHeight="false" outlineLevel="0" collapsed="false">
      <c r="B25" s="2" t="s">
        <v>536</v>
      </c>
      <c r="C25" s="25" t="n">
        <v>2095</v>
      </c>
      <c r="D25" s="25" t="n">
        <v>2006</v>
      </c>
      <c r="E25" s="25" t="n">
        <v>1957</v>
      </c>
    </row>
    <row r="28" customFormat="false" ht="15" hidden="false" customHeight="false" outlineLevel="0" collapsed="false">
      <c r="B28" s="4" t="s">
        <v>537</v>
      </c>
    </row>
    <row r="29" customFormat="false" ht="15" hidden="false" customHeight="false" outlineLevel="0" collapsed="false">
      <c r="B29" s="30" t="s">
        <v>538</v>
      </c>
      <c r="C29" s="30" t="s">
        <v>521</v>
      </c>
      <c r="D29" s="30" t="s">
        <v>539</v>
      </c>
      <c r="E29" s="30" t="s">
        <v>526</v>
      </c>
      <c r="F29" s="30" t="s">
        <v>527</v>
      </c>
      <c r="G29" s="30" t="s">
        <v>540</v>
      </c>
      <c r="H29" s="30" t="s">
        <v>514</v>
      </c>
    </row>
    <row r="30" customFormat="false" ht="15" hidden="false" customHeight="false" outlineLevel="0" collapsed="false">
      <c r="B30" s="41" t="s">
        <v>507</v>
      </c>
      <c r="C30" s="25" t="n">
        <v>419028</v>
      </c>
      <c r="D30" s="25" t="n">
        <v>60645</v>
      </c>
      <c r="E30" s="23" t="n">
        <v>2.04</v>
      </c>
      <c r="F30" s="23" t="n">
        <v>1.65</v>
      </c>
      <c r="G30" s="25" t="n">
        <v>708838</v>
      </c>
      <c r="H30" s="25" t="n">
        <v>2053</v>
      </c>
    </row>
    <row r="31" customFormat="false" ht="15" hidden="false" customHeight="false" outlineLevel="0" collapsed="false">
      <c r="B31" s="41" t="s">
        <v>541</v>
      </c>
      <c r="C31" s="25" t="n">
        <v>186865</v>
      </c>
      <c r="D31" s="25" t="n">
        <v>-171518</v>
      </c>
      <c r="E31" s="23" t="n">
        <v>0.91</v>
      </c>
      <c r="F31" s="23" t="n">
        <v>1.26</v>
      </c>
      <c r="G31" s="25" t="n">
        <v>1046452</v>
      </c>
      <c r="H31" s="25" t="n">
        <v>1642</v>
      </c>
    </row>
    <row r="32" customFormat="false" ht="15" hidden="false" customHeight="false" outlineLevel="0" collapsed="false">
      <c r="B32" s="41" t="s">
        <v>542</v>
      </c>
      <c r="C32" s="25" t="n">
        <v>48716</v>
      </c>
      <c r="D32" s="25" t="n">
        <v>-309667</v>
      </c>
      <c r="E32" s="23" t="n">
        <v>0.24</v>
      </c>
      <c r="F32" s="23" t="n">
        <v>0.66</v>
      </c>
      <c r="G32" s="25" t="n">
        <v>1239229</v>
      </c>
      <c r="H32" s="25" t="n">
        <v>1437</v>
      </c>
    </row>
    <row r="33" customFormat="false" ht="15" hidden="false" customHeight="false" outlineLevel="0" collapsed="false">
      <c r="B33" s="41" t="s">
        <v>543</v>
      </c>
      <c r="C33" s="25" t="n">
        <v>307409</v>
      </c>
      <c r="D33" s="25" t="n">
        <v>-50974</v>
      </c>
      <c r="E33" s="23" t="n">
        <v>1.5</v>
      </c>
      <c r="F33" s="23" t="n">
        <v>1.58</v>
      </c>
      <c r="G33" s="25" t="n">
        <v>779379</v>
      </c>
      <c r="H33" s="25" t="n">
        <v>1856</v>
      </c>
    </row>
    <row r="34" customFormat="false" ht="15" hidden="false" customHeight="false" outlineLevel="0" collapsed="false">
      <c r="B34" s="41" t="s">
        <v>544</v>
      </c>
      <c r="C34" s="25" t="n">
        <v>307998</v>
      </c>
      <c r="D34" s="25" t="n">
        <v>-50385</v>
      </c>
      <c r="E34" s="23" t="n">
        <v>1.5</v>
      </c>
      <c r="F34" s="23" t="n">
        <v>1.23</v>
      </c>
      <c r="G34" s="25" t="n">
        <v>823229</v>
      </c>
      <c r="H34" s="25" t="n">
        <v>2053</v>
      </c>
    </row>
    <row r="35" customFormat="false" ht="15" hidden="false" customHeight="false" outlineLevel="0" collapsed="false">
      <c r="B35" s="41" t="s">
        <v>545</v>
      </c>
      <c r="C35" s="25" t="n">
        <v>382034</v>
      </c>
      <c r="D35" s="25" t="n">
        <v>23083</v>
      </c>
      <c r="E35" s="23" t="n">
        <v>1.86</v>
      </c>
      <c r="F35" s="23" t="n">
        <v>1.51</v>
      </c>
      <c r="G35" s="25" t="n">
        <v>779488</v>
      </c>
      <c r="H35" s="25" t="n">
        <v>2053</v>
      </c>
    </row>
    <row r="36" customFormat="false" ht="15" hidden="false" customHeight="false" outlineLevel="0" collapsed="false">
      <c r="B36" s="41" t="s">
        <v>546</v>
      </c>
      <c r="C36" s="25" t="n">
        <v>419028</v>
      </c>
      <c r="D36" s="25" t="n">
        <v>23881</v>
      </c>
      <c r="E36" s="23" t="n">
        <v>1.73</v>
      </c>
      <c r="F36" s="23" t="n">
        <v>1.46</v>
      </c>
      <c r="G36" s="25" t="n">
        <v>786173</v>
      </c>
      <c r="H36" s="25" t="n">
        <v>2053</v>
      </c>
    </row>
    <row r="37" customFormat="false" ht="15" hidden="false" customHeight="false" outlineLevel="0" collapsed="false">
      <c r="B37" s="41" t="s">
        <v>547</v>
      </c>
      <c r="C37" s="25" t="n">
        <v>378467</v>
      </c>
      <c r="D37" s="25" t="n">
        <v>20084</v>
      </c>
      <c r="E37" s="23" t="n">
        <v>1.85</v>
      </c>
      <c r="F37" s="23" t="n">
        <v>1.5</v>
      </c>
      <c r="G37" s="25" t="n">
        <v>775480</v>
      </c>
      <c r="H37" s="25" t="n">
        <v>2053</v>
      </c>
    </row>
    <row r="38" customFormat="false" ht="15" hidden="false" customHeight="false" outlineLevel="0" collapsed="false">
      <c r="B38" s="41" t="s">
        <v>548</v>
      </c>
      <c r="C38" s="25" t="n">
        <v>383471</v>
      </c>
      <c r="D38" s="25" t="n">
        <v>24520</v>
      </c>
      <c r="E38" s="23" t="n">
        <v>1.86</v>
      </c>
      <c r="F38" s="23" t="n">
        <v>1.52</v>
      </c>
      <c r="G38" s="25" t="n">
        <v>772195</v>
      </c>
      <c r="H38" s="25" t="n">
        <v>2053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2026-09-27T14:59:34Z</dcterms:created>
  <dc:creator>openpyxl</dc:creator>
  <dc:description/>
  <dc:language>en-US</dc:language>
  <cp:lastModifiedBy/>
  <dcterms:modified xsi:type="dcterms:W3CDTF">2026-09-27T14:59:34Z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